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Country totals" sheetId="3" state="visible" r:id="rId3"/>
    <sheet xmlns:r="http://schemas.openxmlformats.org/officeDocument/2006/relationships" name="Market context" sheetId="4" state="visible" r:id="rId4"/>
    <sheet xmlns:r="http://schemas.openxmlformats.org/officeDocument/2006/relationships" name="FX monthly" sheetId="5" state="visible" r:id="rId5"/>
    <sheet xmlns:r="http://schemas.openxmlformats.org/officeDocument/2006/relationships" name="Hub scenarios" sheetId="6" state="visible" r:id="rId6"/>
    <sheet xmlns:r="http://schemas.openxmlformats.org/officeDocument/2006/relationships" name="Decision chart" sheetId="7" state="visible" r:id="rId7"/>
    <sheet xmlns:r="http://schemas.openxmlformats.org/officeDocument/2006/relationships" name="Quality" sheetId="8" state="visible" r:id="rId8"/>
    <sheet xmlns:r="http://schemas.openxmlformats.org/officeDocument/2006/relationships" name="Sources" sheetId="9" state="visible" r:id="rId9"/>
  </sheets>
  <definedNames>
    <definedName name="_xlnm._FilterDatabase" localSheetId="1" hidden="1">'Monthly'!$A$1:$L$73</definedName>
    <definedName name="_xlnm._FilterDatabase" localSheetId="2" hidden="1">'Country totals'!$A$1:$K$7</definedName>
    <definedName name="_xlnm._FilterDatabase" localSheetId="3" hidden="1">'Market context'!$A$1:$H$19</definedName>
    <definedName name="_xlnm._FilterDatabase" localSheetId="4" hidden="1">'FX monthly'!$A$1:$C$25</definedName>
    <definedName name="_xlnm._FilterDatabase" localSheetId="5" hidden="1">'Hub scenarios'!$A$1:$F$73</definedName>
    <definedName name="_xlnm._FilterDatabase" localSheetId="6" hidden="1">'Decision chart'!$A$1:$E$18</definedName>
    <definedName name="_xlnm._FilterDatabase" localSheetId="8" hidden="1">'Sources'!$A$1:$J$14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%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42B40"/>
      <sz val="10"/>
    </font>
  </fonts>
  <fills count="3">
    <fill>
      <patternFill/>
    </fill>
    <fill>
      <patternFill patternType="gray125"/>
    </fill>
    <fill>
      <patternFill patternType="solid">
        <fgColor rgb="00142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contribution by market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'Country totals'!I1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'Country totals'!$A$2:$A$7</f>
            </numRef>
          </cat>
          <val>
            <numRef>
              <f>'Country totals'!$I$2:$I$7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increment: base vs joint stress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'Decision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'Decision chart'!$A$2:$A$10</f>
            </numRef>
          </cat>
          <val>
            <numRef>
              <f>'Decision chart'!$B$2:$B$10</f>
            </numRef>
          </val>
        </ser>
        <ser>
          <idx val="1"/>
          <order val="1"/>
          <tx>
            <strRef>
              <f>'Decision chart'!C1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'Decision chart'!$A$2:$A$10</f>
            </numRef>
          </cat>
          <val>
            <numRef>
              <f>'Decision chart'!$C$2:$C$10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Feasible option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5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9" customHeight="1">
      <c r="A1" s="1" t="inlineStr">
        <is>
          <t>MERIDIAN PARTS | ANALYTICAL WORKBOOK</t>
        </is>
      </c>
      <c r="B1" s="1" t="inlineStr">
        <is>
          <t>2025 shipped base; returns known by 2026-01-31</t>
        </is>
      </c>
    </row>
    <row r="2">
      <c r="A2" s="2" t="inlineStr">
        <is>
          <t>Use</t>
        </is>
      </c>
      <c r="B2" s="2" t="inlineStr">
        <is>
          <t>All figure sheets are generated from saved raw inputs by analysis/build.py.</t>
        </is>
      </c>
    </row>
    <row r="3">
      <c r="A3" s="2" t="inlineStr">
        <is>
          <t>Evidence</t>
        </is>
      </c>
      <c r="B3" s="2" t="inlineStr">
        <is>
          <t>Synthetic client exports and archived official ECB/World Bank snapshots; see Sources sheet and sources/source_register.json.</t>
        </is>
      </c>
    </row>
    <row r="4">
      <c r="A4" s="2" t="inlineStr">
        <is>
          <t>Accounting</t>
        </is>
      </c>
      <c r="B4" s="2" t="inlineStr">
        <is>
          <t>One latest-revision row/order; sale-month FX; half-up cent rounding per order; returns assigned to shipment month.</t>
        </is>
      </c>
    </row>
    <row r="5">
      <c r="A5" s="2" t="inlineStr">
        <is>
          <t>Annual scenario</t>
        </is>
      </c>
      <c r="B5" s="2" t="inlineStr">
        <is>
          <t>C*u + U*(1+u)*s - F, with u=10%/25%/40%; year-zero capex excluded.</t>
        </is>
      </c>
    </row>
    <row r="6">
      <c r="A6" s="2" t="inlineStr">
        <is>
          <t>Stress</t>
        </is>
      </c>
      <c r="B6" s="2" t="inlineStr">
        <is>
          <t>(C-3%*G-10%*N for PLN/CZK)*1.25 - C + U*1.25*s - F; no cost recovery for added refund.</t>
        </is>
      </c>
    </row>
    <row r="7">
      <c r="A7" s="2" t="inlineStr">
        <is>
          <t>Decision</t>
        </is>
      </c>
      <c r="B7" s="2" t="inlineStr">
        <is>
          <t>Stage CZE+ESP: €225,000 capex, five FTE; gate Czechia release after Spain pilot.</t>
        </is>
      </c>
    </row>
    <row r="8">
      <c r="A8" s="2" t="inlineStr">
        <is>
          <t>Limit</t>
        </is>
      </c>
      <c r="B8" s="2" t="inlineStr">
        <is>
          <t>Uplift, savings, fixed cost and stress are synthetic assumptions, not causal forecasts.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18" customWidth="1" min="9" max="9"/>
    <col width="19" customWidth="1" min="10" max="10"/>
    <col width="17" customWidth="1" min="11" max="11"/>
    <col width="16" customWidth="1" min="12" max="12"/>
  </cols>
  <sheetData>
    <row r="1" ht="29" customHeight="1">
      <c r="A1" s="1" t="inlineStr">
        <is>
          <t>country</t>
        </is>
      </c>
      <c r="B1" s="1" t="inlineStr">
        <is>
          <t>month</t>
        </is>
      </c>
      <c r="C1" s="1" t="inlineStr">
        <is>
          <t>shipped_orders</t>
        </is>
      </c>
      <c r="D1" s="1" t="inlineStr">
        <is>
          <t>shipped_units</t>
        </is>
      </c>
      <c r="E1" s="1" t="inlineStr">
        <is>
          <t>gross_sales_eur</t>
        </is>
      </c>
      <c r="F1" s="1" t="inlineStr">
        <is>
          <t>refunds_eur</t>
        </is>
      </c>
      <c r="G1" s="1" t="inlineStr">
        <is>
          <t>net_sales_eur</t>
        </is>
      </c>
      <c r="H1" s="1" t="inlineStr">
        <is>
          <t>net_cogs_eur</t>
        </is>
      </c>
      <c r="I1" s="1" t="inlineStr">
        <is>
          <t>fulfillment_eur</t>
        </is>
      </c>
      <c r="J1" s="1" t="inlineStr">
        <is>
          <t>contribution_eur</t>
        </is>
      </c>
      <c r="K1" s="1" t="inlineStr">
        <is>
          <t>returned_units</t>
        </is>
      </c>
      <c r="L1" s="1" t="inlineStr">
        <is>
          <t>margin</t>
        </is>
      </c>
    </row>
    <row r="2">
      <c r="A2" s="2" t="inlineStr">
        <is>
          <t>DEU</t>
        </is>
      </c>
      <c r="B2" s="2" t="inlineStr">
        <is>
          <t>2025-01</t>
        </is>
      </c>
      <c r="C2" s="2" t="n">
        <v>18</v>
      </c>
      <c r="D2" s="2" t="n">
        <v>962</v>
      </c>
      <c r="E2" s="3" t="n">
        <v>48962.64</v>
      </c>
      <c r="F2" s="3" t="n">
        <v>449</v>
      </c>
      <c r="G2" s="3" t="n">
        <v>48513.64</v>
      </c>
      <c r="H2" s="3" t="n">
        <v>26373</v>
      </c>
      <c r="I2" s="3" t="n">
        <v>1081.8</v>
      </c>
      <c r="J2" s="3" t="n">
        <v>21058.84</v>
      </c>
      <c r="K2" s="2" t="n">
        <v>6</v>
      </c>
      <c r="L2" s="4" t="n">
        <v>0.43408081</v>
      </c>
    </row>
    <row r="3">
      <c r="A3" s="2" t="inlineStr">
        <is>
          <t>DEU</t>
        </is>
      </c>
      <c r="B3" s="2" t="inlineStr">
        <is>
          <t>2025-02</t>
        </is>
      </c>
      <c r="C3" s="2" t="n">
        <v>18</v>
      </c>
      <c r="D3" s="2" t="n">
        <v>892</v>
      </c>
      <c r="E3" s="3" t="n">
        <v>44273.52</v>
      </c>
      <c r="F3" s="3" t="n">
        <v>450</v>
      </c>
      <c r="G3" s="3" t="n">
        <v>43823.52</v>
      </c>
      <c r="H3" s="3" t="n">
        <v>23462.5</v>
      </c>
      <c r="I3" s="3" t="n">
        <v>1018.8</v>
      </c>
      <c r="J3" s="3" t="n">
        <v>19342.22</v>
      </c>
      <c r="K3" s="2" t="n">
        <v>6</v>
      </c>
      <c r="L3" s="4" t="n">
        <v>0.44136619</v>
      </c>
    </row>
    <row r="4">
      <c r="A4" s="2" t="inlineStr">
        <is>
          <t>DEU</t>
        </is>
      </c>
      <c r="B4" s="2" t="inlineStr">
        <is>
          <t>2025-03</t>
        </is>
      </c>
      <c r="C4" s="2" t="n">
        <v>17</v>
      </c>
      <c r="D4" s="2" t="n">
        <v>864</v>
      </c>
      <c r="E4" s="3" t="n">
        <v>39088.56</v>
      </c>
      <c r="F4" s="3" t="n">
        <v>450</v>
      </c>
      <c r="G4" s="3" t="n">
        <v>38638.56</v>
      </c>
      <c r="H4" s="3" t="n">
        <v>22211</v>
      </c>
      <c r="I4" s="3" t="n">
        <v>981.6</v>
      </c>
      <c r="J4" s="3" t="n">
        <v>15445.96</v>
      </c>
      <c r="K4" s="2" t="n">
        <v>6</v>
      </c>
      <c r="L4" s="4" t="n">
        <v>0.39975506</v>
      </c>
    </row>
    <row r="5">
      <c r="A5" s="2" t="inlineStr">
        <is>
          <t>DEU</t>
        </is>
      </c>
      <c r="B5" s="2" t="inlineStr">
        <is>
          <t>2025-04</t>
        </is>
      </c>
      <c r="C5" s="2" t="n">
        <v>17</v>
      </c>
      <c r="D5" s="2" t="n">
        <v>882</v>
      </c>
      <c r="E5" s="3" t="n">
        <v>45414.48</v>
      </c>
      <c r="F5" s="3" t="n">
        <v>450</v>
      </c>
      <c r="G5" s="3" t="n">
        <v>44964.48</v>
      </c>
      <c r="H5" s="3" t="n">
        <v>24142</v>
      </c>
      <c r="I5" s="3" t="n">
        <v>997.8</v>
      </c>
      <c r="J5" s="3" t="n">
        <v>19824.68</v>
      </c>
      <c r="K5" s="2" t="n">
        <v>6</v>
      </c>
      <c r="L5" s="4" t="n">
        <v>0.44089646</v>
      </c>
    </row>
    <row r="6">
      <c r="A6" s="2" t="inlineStr">
        <is>
          <t>DEU</t>
        </is>
      </c>
      <c r="B6" s="2" t="inlineStr">
        <is>
          <t>2025-05</t>
        </is>
      </c>
      <c r="C6" s="2" t="n">
        <v>18</v>
      </c>
      <c r="D6" s="2" t="n">
        <v>1159</v>
      </c>
      <c r="E6" s="3" t="n">
        <v>65858.88</v>
      </c>
      <c r="F6" s="3" t="n">
        <v>450</v>
      </c>
      <c r="G6" s="3" t="n">
        <v>65408.88</v>
      </c>
      <c r="H6" s="3" t="n">
        <v>36475</v>
      </c>
      <c r="I6" s="3" t="n">
        <v>1259.1</v>
      </c>
      <c r="J6" s="3" t="n">
        <v>27674.78</v>
      </c>
      <c r="K6" s="2" t="n">
        <v>6</v>
      </c>
      <c r="L6" s="4" t="n">
        <v>0.42310432</v>
      </c>
    </row>
    <row r="7">
      <c r="A7" s="2" t="inlineStr">
        <is>
          <t>DEU</t>
        </is>
      </c>
      <c r="B7" s="2" t="inlineStr">
        <is>
          <t>2025-06</t>
        </is>
      </c>
      <c r="C7" s="2" t="n">
        <v>17</v>
      </c>
      <c r="D7" s="2" t="n">
        <v>1046</v>
      </c>
      <c r="E7" s="3" t="n">
        <v>51222.9</v>
      </c>
      <c r="F7" s="3" t="n">
        <v>450</v>
      </c>
      <c r="G7" s="3" t="n">
        <v>50772.9</v>
      </c>
      <c r="H7" s="3" t="n">
        <v>27542.5</v>
      </c>
      <c r="I7" s="3" t="n">
        <v>1145.4</v>
      </c>
      <c r="J7" s="3" t="n">
        <v>22085</v>
      </c>
      <c r="K7" s="2" t="n">
        <v>6</v>
      </c>
      <c r="L7" s="4" t="n">
        <v>0.43497614</v>
      </c>
    </row>
    <row r="8">
      <c r="A8" s="2" t="inlineStr">
        <is>
          <t>DEU</t>
        </is>
      </c>
      <c r="B8" s="2" t="inlineStr">
        <is>
          <t>2025-07</t>
        </is>
      </c>
      <c r="C8" s="2" t="n">
        <v>18</v>
      </c>
      <c r="D8" s="2" t="n">
        <v>1236</v>
      </c>
      <c r="E8" s="3" t="n">
        <v>65105.4</v>
      </c>
      <c r="F8" s="3" t="n">
        <v>450</v>
      </c>
      <c r="G8" s="3" t="n">
        <v>64655.4</v>
      </c>
      <c r="H8" s="3" t="n">
        <v>36424.5</v>
      </c>
      <c r="I8" s="3" t="n">
        <v>1328.4</v>
      </c>
      <c r="J8" s="3" t="n">
        <v>26902.5</v>
      </c>
      <c r="K8" s="2" t="n">
        <v>6</v>
      </c>
      <c r="L8" s="4" t="n">
        <v>0.41609054</v>
      </c>
    </row>
    <row r="9">
      <c r="A9" s="2" t="inlineStr">
        <is>
          <t>DEU</t>
        </is>
      </c>
      <c r="B9" s="2" t="inlineStr">
        <is>
          <t>2025-08</t>
        </is>
      </c>
      <c r="C9" s="2" t="n">
        <v>17</v>
      </c>
      <c r="D9" s="2" t="n">
        <v>1145</v>
      </c>
      <c r="E9" s="3" t="n">
        <v>60928.2</v>
      </c>
      <c r="F9" s="3" t="n">
        <v>450</v>
      </c>
      <c r="G9" s="3" t="n">
        <v>60478.2</v>
      </c>
      <c r="H9" s="3" t="n">
        <v>34167.5</v>
      </c>
      <c r="I9" s="3" t="n">
        <v>1234.5</v>
      </c>
      <c r="J9" s="3" t="n">
        <v>25076.2</v>
      </c>
      <c r="K9" s="2" t="n">
        <v>6</v>
      </c>
      <c r="L9" s="4" t="n">
        <v>0.41463205</v>
      </c>
    </row>
    <row r="10">
      <c r="A10" s="2" t="inlineStr">
        <is>
          <t>DEU</t>
        </is>
      </c>
      <c r="B10" s="2" t="inlineStr">
        <is>
          <t>2025-09</t>
        </is>
      </c>
      <c r="C10" s="2" t="n">
        <v>17</v>
      </c>
      <c r="D10" s="2" t="n">
        <v>1067</v>
      </c>
      <c r="E10" s="3" t="n">
        <v>57896.64</v>
      </c>
      <c r="F10" s="3" t="n">
        <v>450</v>
      </c>
      <c r="G10" s="3" t="n">
        <v>57446.64</v>
      </c>
      <c r="H10" s="3" t="n">
        <v>33759.5</v>
      </c>
      <c r="I10" s="3" t="n">
        <v>1164.3</v>
      </c>
      <c r="J10" s="3" t="n">
        <v>22522.84</v>
      </c>
      <c r="K10" s="2" t="n">
        <v>6</v>
      </c>
      <c r="L10" s="4" t="n">
        <v>0.3920654</v>
      </c>
    </row>
    <row r="11">
      <c r="A11" s="2" t="inlineStr">
        <is>
          <t>DEU</t>
        </is>
      </c>
      <c r="B11" s="2" t="inlineStr">
        <is>
          <t>2025-10</t>
        </is>
      </c>
      <c r="C11" s="2" t="n">
        <v>18</v>
      </c>
      <c r="D11" s="2" t="n">
        <v>1124</v>
      </c>
      <c r="E11" s="3" t="n">
        <v>57554.22</v>
      </c>
      <c r="F11" s="3" t="n">
        <v>450</v>
      </c>
      <c r="G11" s="3" t="n">
        <v>57104.22</v>
      </c>
      <c r="H11" s="3" t="n">
        <v>32276</v>
      </c>
      <c r="I11" s="3" t="n">
        <v>1227.6</v>
      </c>
      <c r="J11" s="3" t="n">
        <v>23600.62</v>
      </c>
      <c r="K11" s="2" t="n">
        <v>6</v>
      </c>
      <c r="L11" s="4" t="n">
        <v>0.4132903</v>
      </c>
    </row>
    <row r="12">
      <c r="A12" s="2" t="inlineStr">
        <is>
          <t>DEU</t>
        </is>
      </c>
      <c r="B12" s="2" t="inlineStr">
        <is>
          <t>2025-11</t>
        </is>
      </c>
      <c r="C12" s="2" t="n">
        <v>18</v>
      </c>
      <c r="D12" s="2" t="n">
        <v>921</v>
      </c>
      <c r="E12" s="3" t="n">
        <v>48771.06</v>
      </c>
      <c r="F12" s="3" t="n">
        <v>450</v>
      </c>
      <c r="G12" s="3" t="n">
        <v>48321.06</v>
      </c>
      <c r="H12" s="3" t="n">
        <v>27297</v>
      </c>
      <c r="I12" s="3" t="n">
        <v>1044.9</v>
      </c>
      <c r="J12" s="3" t="n">
        <v>19979.16</v>
      </c>
      <c r="K12" s="2" t="n">
        <v>6</v>
      </c>
      <c r="L12" s="4" t="n">
        <v>0.41346692</v>
      </c>
    </row>
    <row r="13">
      <c r="A13" s="2" t="inlineStr">
        <is>
          <t>DEU</t>
        </is>
      </c>
      <c r="B13" s="2" t="inlineStr">
        <is>
          <t>2025-12</t>
        </is>
      </c>
      <c r="C13" s="2" t="n">
        <v>16</v>
      </c>
      <c r="D13" s="2" t="n">
        <v>855</v>
      </c>
      <c r="E13" s="3" t="n">
        <v>46168.26</v>
      </c>
      <c r="F13" s="3" t="n">
        <v>504</v>
      </c>
      <c r="G13" s="3" t="n">
        <v>45664.26</v>
      </c>
      <c r="H13" s="3" t="n">
        <v>25850</v>
      </c>
      <c r="I13" s="3" t="n">
        <v>961.5</v>
      </c>
      <c r="J13" s="3" t="n">
        <v>18852.76</v>
      </c>
      <c r="K13" s="2" t="n">
        <v>7</v>
      </c>
      <c r="L13" s="4" t="n">
        <v>0.41285592</v>
      </c>
    </row>
    <row r="14">
      <c r="A14" s="2" t="inlineStr">
        <is>
          <t>FRA</t>
        </is>
      </c>
      <c r="B14" s="2" t="inlineStr">
        <is>
          <t>2025-01</t>
        </is>
      </c>
      <c r="C14" s="2" t="n">
        <v>18</v>
      </c>
      <c r="D14" s="2" t="n">
        <v>916</v>
      </c>
      <c r="E14" s="3" t="n">
        <v>51112.88</v>
      </c>
      <c r="F14" s="3" t="n">
        <v>724.92</v>
      </c>
      <c r="G14" s="3" t="n">
        <v>50387.96</v>
      </c>
      <c r="H14" s="3" t="n">
        <v>26508</v>
      </c>
      <c r="I14" s="3" t="n">
        <v>1141.16</v>
      </c>
      <c r="J14" s="3" t="n">
        <v>22738.8</v>
      </c>
      <c r="K14" s="2" t="n">
        <v>12</v>
      </c>
      <c r="L14" s="4" t="n">
        <v>0.45127447</v>
      </c>
    </row>
    <row r="15">
      <c r="A15" s="2" t="inlineStr">
        <is>
          <t>FRA</t>
        </is>
      </c>
      <c r="B15" s="2" t="inlineStr">
        <is>
          <t>2025-02</t>
        </is>
      </c>
      <c r="C15" s="2" t="n">
        <v>18</v>
      </c>
      <c r="D15" s="2" t="n">
        <v>1023</v>
      </c>
      <c r="E15" s="3" t="n">
        <v>55703.76</v>
      </c>
      <c r="F15" s="3" t="n">
        <v>724.92</v>
      </c>
      <c r="G15" s="3" t="n">
        <v>54978.84</v>
      </c>
      <c r="H15" s="3" t="n">
        <v>29141</v>
      </c>
      <c r="I15" s="3" t="n">
        <v>1249.23</v>
      </c>
      <c r="J15" s="3" t="n">
        <v>24588.61</v>
      </c>
      <c r="K15" s="2" t="n">
        <v>12</v>
      </c>
      <c r="L15" s="4" t="n">
        <v>0.4472377</v>
      </c>
    </row>
    <row r="16">
      <c r="A16" s="2" t="inlineStr">
        <is>
          <t>FRA</t>
        </is>
      </c>
      <c r="B16" s="2" t="inlineStr">
        <is>
          <t>2025-03</t>
        </is>
      </c>
      <c r="C16" s="2" t="n">
        <v>17</v>
      </c>
      <c r="D16" s="2" t="n">
        <v>942</v>
      </c>
      <c r="E16" s="3" t="n">
        <v>49158.62</v>
      </c>
      <c r="F16" s="3" t="n">
        <v>724.92</v>
      </c>
      <c r="G16" s="3" t="n">
        <v>48433.7</v>
      </c>
      <c r="H16" s="3" t="n">
        <v>26346.5</v>
      </c>
      <c r="I16" s="3" t="n">
        <v>1155.42</v>
      </c>
      <c r="J16" s="3" t="n">
        <v>20931.78</v>
      </c>
      <c r="K16" s="2" t="n">
        <v>12</v>
      </c>
      <c r="L16" s="4" t="n">
        <v>0.43217388</v>
      </c>
    </row>
    <row r="17">
      <c r="A17" s="2" t="inlineStr">
        <is>
          <t>FRA</t>
        </is>
      </c>
      <c r="B17" s="2" t="inlineStr">
        <is>
          <t>2025-04</t>
        </is>
      </c>
      <c r="C17" s="2" t="n">
        <v>17</v>
      </c>
      <c r="D17" s="2" t="n">
        <v>1050</v>
      </c>
      <c r="E17" s="3" t="n">
        <v>55198.92</v>
      </c>
      <c r="F17" s="3" t="n">
        <v>724.92</v>
      </c>
      <c r="G17" s="3" t="n">
        <v>54474</v>
      </c>
      <c r="H17" s="3" t="n">
        <v>28608</v>
      </c>
      <c r="I17" s="3" t="n">
        <v>1264.5</v>
      </c>
      <c r="J17" s="3" t="n">
        <v>24601.5</v>
      </c>
      <c r="K17" s="2" t="n">
        <v>12</v>
      </c>
      <c r="L17" s="4" t="n">
        <v>0.45161912</v>
      </c>
    </row>
    <row r="18">
      <c r="A18" s="2" t="inlineStr">
        <is>
          <t>FRA</t>
        </is>
      </c>
      <c r="B18" s="2" t="inlineStr">
        <is>
          <t>2025-05</t>
        </is>
      </c>
      <c r="C18" s="2" t="n">
        <v>18</v>
      </c>
      <c r="D18" s="2" t="n">
        <v>977</v>
      </c>
      <c r="E18" s="3" t="n">
        <v>53658.64</v>
      </c>
      <c r="F18" s="3" t="n">
        <v>724.92</v>
      </c>
      <c r="G18" s="3" t="n">
        <v>52933.72</v>
      </c>
      <c r="H18" s="3" t="n">
        <v>27989.5</v>
      </c>
      <c r="I18" s="3" t="n">
        <v>1202.77</v>
      </c>
      <c r="J18" s="3" t="n">
        <v>23741.45</v>
      </c>
      <c r="K18" s="2" t="n">
        <v>12</v>
      </c>
      <c r="L18" s="4" t="n">
        <v>0.44851278</v>
      </c>
    </row>
    <row r="19">
      <c r="A19" s="2" t="inlineStr">
        <is>
          <t>FRA</t>
        </is>
      </c>
      <c r="B19" s="2" t="inlineStr">
        <is>
          <t>2025-06</t>
        </is>
      </c>
      <c r="C19" s="2" t="n">
        <v>17</v>
      </c>
      <c r="D19" s="2" t="n">
        <v>880</v>
      </c>
      <c r="E19" s="3" t="n">
        <v>46500.86</v>
      </c>
      <c r="F19" s="3" t="n">
        <v>724.92</v>
      </c>
      <c r="G19" s="3" t="n">
        <v>45775.94</v>
      </c>
      <c r="H19" s="3" t="n">
        <v>24563.5</v>
      </c>
      <c r="I19" s="3" t="n">
        <v>1092.8</v>
      </c>
      <c r="J19" s="3" t="n">
        <v>20119.64</v>
      </c>
      <c r="K19" s="2" t="n">
        <v>12</v>
      </c>
      <c r="L19" s="4" t="n">
        <v>0.43952434</v>
      </c>
    </row>
    <row r="20">
      <c r="A20" s="2" t="inlineStr">
        <is>
          <t>FRA</t>
        </is>
      </c>
      <c r="B20" s="2" t="inlineStr">
        <is>
          <t>2025-07</t>
        </is>
      </c>
      <c r="C20" s="2" t="n">
        <v>18</v>
      </c>
      <c r="D20" s="2" t="n">
        <v>947</v>
      </c>
      <c r="E20" s="3" t="n">
        <v>49908.46</v>
      </c>
      <c r="F20" s="3" t="n">
        <v>724.92</v>
      </c>
      <c r="G20" s="3" t="n">
        <v>49183.54</v>
      </c>
      <c r="H20" s="3" t="n">
        <v>27047.5</v>
      </c>
      <c r="I20" s="3" t="n">
        <v>1172.47</v>
      </c>
      <c r="J20" s="3" t="n">
        <v>20963.57</v>
      </c>
      <c r="K20" s="2" t="n">
        <v>12</v>
      </c>
      <c r="L20" s="4" t="n">
        <v>0.42623142</v>
      </c>
    </row>
    <row r="21">
      <c r="A21" s="2" t="inlineStr">
        <is>
          <t>FRA</t>
        </is>
      </c>
      <c r="B21" s="2" t="inlineStr">
        <is>
          <t>2025-08</t>
        </is>
      </c>
      <c r="C21" s="2" t="n">
        <v>17</v>
      </c>
      <c r="D21" s="2" t="n">
        <v>989</v>
      </c>
      <c r="E21" s="3" t="n">
        <v>55720.84</v>
      </c>
      <c r="F21" s="3" t="n">
        <v>724.92</v>
      </c>
      <c r="G21" s="3" t="n">
        <v>54995.92</v>
      </c>
      <c r="H21" s="3" t="n">
        <v>29950</v>
      </c>
      <c r="I21" s="3" t="n">
        <v>1202.89</v>
      </c>
      <c r="J21" s="3" t="n">
        <v>23843.03</v>
      </c>
      <c r="K21" s="2" t="n">
        <v>12</v>
      </c>
      <c r="L21" s="4" t="n">
        <v>0.4335418</v>
      </c>
    </row>
    <row r="22">
      <c r="A22" s="2" t="inlineStr">
        <is>
          <t>FRA</t>
        </is>
      </c>
      <c r="B22" s="2" t="inlineStr">
        <is>
          <t>2025-09</t>
        </is>
      </c>
      <c r="C22" s="2" t="n">
        <v>17</v>
      </c>
      <c r="D22" s="2" t="n">
        <v>838</v>
      </c>
      <c r="E22" s="3" t="n">
        <v>44859.22</v>
      </c>
      <c r="F22" s="3" t="n">
        <v>724.92</v>
      </c>
      <c r="G22" s="3" t="n">
        <v>44134.3</v>
      </c>
      <c r="H22" s="3" t="n">
        <v>24517.5</v>
      </c>
      <c r="I22" s="3" t="n">
        <v>1050.38</v>
      </c>
      <c r="J22" s="3" t="n">
        <v>18566.42</v>
      </c>
      <c r="K22" s="2" t="n">
        <v>12</v>
      </c>
      <c r="L22" s="4" t="n">
        <v>0.42068006</v>
      </c>
    </row>
    <row r="23">
      <c r="A23" s="2" t="inlineStr">
        <is>
          <t>FRA</t>
        </is>
      </c>
      <c r="B23" s="2" t="inlineStr">
        <is>
          <t>2025-10</t>
        </is>
      </c>
      <c r="C23" s="2" t="n">
        <v>18</v>
      </c>
      <c r="D23" s="2" t="n">
        <v>1163</v>
      </c>
      <c r="E23" s="3" t="n">
        <v>64158.64</v>
      </c>
      <c r="F23" s="3" t="n">
        <v>724.92</v>
      </c>
      <c r="G23" s="3" t="n">
        <v>63433.72</v>
      </c>
      <c r="H23" s="3" t="n">
        <v>34571.5</v>
      </c>
      <c r="I23" s="3" t="n">
        <v>1390.63</v>
      </c>
      <c r="J23" s="3" t="n">
        <v>27471.59</v>
      </c>
      <c r="K23" s="2" t="n">
        <v>12</v>
      </c>
      <c r="L23" s="4" t="n">
        <v>0.4330755</v>
      </c>
    </row>
    <row r="24">
      <c r="A24" s="2" t="inlineStr">
        <is>
          <t>FRA</t>
        </is>
      </c>
      <c r="B24" s="2" t="inlineStr">
        <is>
          <t>2025-11</t>
        </is>
      </c>
      <c r="C24" s="2" t="n">
        <v>18</v>
      </c>
      <c r="D24" s="2" t="n">
        <v>1162</v>
      </c>
      <c r="E24" s="3" t="n">
        <v>62804</v>
      </c>
      <c r="F24" s="3" t="n">
        <v>724.92</v>
      </c>
      <c r="G24" s="3" t="n">
        <v>62079.08</v>
      </c>
      <c r="H24" s="3" t="n">
        <v>33883.5</v>
      </c>
      <c r="I24" s="3" t="n">
        <v>1389.62</v>
      </c>
      <c r="J24" s="3" t="n">
        <v>26805.96</v>
      </c>
      <c r="K24" s="2" t="n">
        <v>12</v>
      </c>
      <c r="L24" s="4" t="n">
        <v>0.43180344</v>
      </c>
    </row>
    <row r="25">
      <c r="A25" s="2" t="inlineStr">
        <is>
          <t>FRA</t>
        </is>
      </c>
      <c r="B25" s="2" t="inlineStr">
        <is>
          <t>2025-12</t>
        </is>
      </c>
      <c r="C25" s="2" t="n">
        <v>16</v>
      </c>
      <c r="D25" s="2" t="n">
        <v>993</v>
      </c>
      <c r="E25" s="3" t="n">
        <v>52145.1</v>
      </c>
      <c r="F25" s="3" t="n">
        <v>724.92</v>
      </c>
      <c r="G25" s="3" t="n">
        <v>51420.18</v>
      </c>
      <c r="H25" s="3" t="n">
        <v>28326.5</v>
      </c>
      <c r="I25" s="3" t="n">
        <v>1194.93</v>
      </c>
      <c r="J25" s="3" t="n">
        <v>21898.75</v>
      </c>
      <c r="K25" s="2" t="n">
        <v>12</v>
      </c>
      <c r="L25" s="4" t="n">
        <v>0.42587852</v>
      </c>
    </row>
    <row r="26">
      <c r="A26" s="2" t="inlineStr">
        <is>
          <t>NLD</t>
        </is>
      </c>
      <c r="B26" s="2" t="inlineStr">
        <is>
          <t>2025-01</t>
        </is>
      </c>
      <c r="C26" s="2" t="n">
        <v>18</v>
      </c>
      <c r="D26" s="2" t="n">
        <v>1138</v>
      </c>
      <c r="E26" s="3" t="n">
        <v>63010.54</v>
      </c>
      <c r="F26" s="3" t="n">
        <v>948</v>
      </c>
      <c r="G26" s="3" t="n">
        <v>62062.54</v>
      </c>
      <c r="H26" s="3" t="n">
        <v>31351</v>
      </c>
      <c r="I26" s="3" t="n">
        <v>1490.56</v>
      </c>
      <c r="J26" s="3" t="n">
        <v>29220.98</v>
      </c>
      <c r="K26" s="2" t="n">
        <v>12</v>
      </c>
      <c r="L26" s="4" t="n">
        <v>0.4708312</v>
      </c>
    </row>
    <row r="27">
      <c r="A27" s="2" t="inlineStr">
        <is>
          <t>NLD</t>
        </is>
      </c>
      <c r="B27" s="2" t="inlineStr">
        <is>
          <t>2025-02</t>
        </is>
      </c>
      <c r="C27" s="2" t="n">
        <v>18</v>
      </c>
      <c r="D27" s="2" t="n">
        <v>1107</v>
      </c>
      <c r="E27" s="3" t="n">
        <v>63270.6</v>
      </c>
      <c r="F27" s="3" t="n">
        <v>948</v>
      </c>
      <c r="G27" s="3" t="n">
        <v>62322.6</v>
      </c>
      <c r="H27" s="3" t="n">
        <v>32243</v>
      </c>
      <c r="I27" s="3" t="n">
        <v>1455.84</v>
      </c>
      <c r="J27" s="3" t="n">
        <v>28623.76</v>
      </c>
      <c r="K27" s="2" t="n">
        <v>12</v>
      </c>
      <c r="L27" s="4" t="n">
        <v>0.45928379</v>
      </c>
    </row>
    <row r="28">
      <c r="A28" s="2" t="inlineStr">
        <is>
          <t>NLD</t>
        </is>
      </c>
      <c r="B28" s="2" t="inlineStr">
        <is>
          <t>2025-03</t>
        </is>
      </c>
      <c r="C28" s="2" t="n">
        <v>17</v>
      </c>
      <c r="D28" s="2" t="n">
        <v>922</v>
      </c>
      <c r="E28" s="3" t="n">
        <v>53048.72</v>
      </c>
      <c r="F28" s="3" t="n">
        <v>948</v>
      </c>
      <c r="G28" s="3" t="n">
        <v>52100.72</v>
      </c>
      <c r="H28" s="3" t="n">
        <v>27348.5</v>
      </c>
      <c r="I28" s="3" t="n">
        <v>1236.64</v>
      </c>
      <c r="J28" s="3" t="n">
        <v>23515.58</v>
      </c>
      <c r="K28" s="2" t="n">
        <v>12</v>
      </c>
      <c r="L28" s="4" t="n">
        <v>0.45134847</v>
      </c>
    </row>
    <row r="29">
      <c r="A29" s="2" t="inlineStr">
        <is>
          <t>NLD</t>
        </is>
      </c>
      <c r="B29" s="2" t="inlineStr">
        <is>
          <t>2025-04</t>
        </is>
      </c>
      <c r="C29" s="2" t="n">
        <v>17</v>
      </c>
      <c r="D29" s="2" t="n">
        <v>875</v>
      </c>
      <c r="E29" s="3" t="n">
        <v>50064.5</v>
      </c>
      <c r="F29" s="3" t="n">
        <v>948</v>
      </c>
      <c r="G29" s="3" t="n">
        <v>49116.5</v>
      </c>
      <c r="H29" s="3" t="n">
        <v>25184</v>
      </c>
      <c r="I29" s="3" t="n">
        <v>1184</v>
      </c>
      <c r="J29" s="3" t="n">
        <v>22748.5</v>
      </c>
      <c r="K29" s="2" t="n">
        <v>12</v>
      </c>
      <c r="L29" s="4" t="n">
        <v>0.46315393</v>
      </c>
    </row>
    <row r="30">
      <c r="A30" s="2" t="inlineStr">
        <is>
          <t>NLD</t>
        </is>
      </c>
      <c r="B30" s="2" t="inlineStr">
        <is>
          <t>2025-05</t>
        </is>
      </c>
      <c r="C30" s="2" t="n">
        <v>18</v>
      </c>
      <c r="D30" s="2" t="n">
        <v>1043</v>
      </c>
      <c r="E30" s="3" t="n">
        <v>59402.18</v>
      </c>
      <c r="F30" s="3" t="n">
        <v>948</v>
      </c>
      <c r="G30" s="3" t="n">
        <v>58454.18</v>
      </c>
      <c r="H30" s="3" t="n">
        <v>29892</v>
      </c>
      <c r="I30" s="3" t="n">
        <v>1384.16</v>
      </c>
      <c r="J30" s="3" t="n">
        <v>27178.02</v>
      </c>
      <c r="K30" s="2" t="n">
        <v>12</v>
      </c>
      <c r="L30" s="4" t="n">
        <v>0.46494571</v>
      </c>
    </row>
    <row r="31">
      <c r="A31" s="2" t="inlineStr">
        <is>
          <t>NLD</t>
        </is>
      </c>
      <c r="B31" s="2" t="inlineStr">
        <is>
          <t>2025-06</t>
        </is>
      </c>
      <c r="C31" s="2" t="n">
        <v>17</v>
      </c>
      <c r="D31" s="2" t="n">
        <v>1145</v>
      </c>
      <c r="E31" s="3" t="n">
        <v>63045.5</v>
      </c>
      <c r="F31" s="3" t="n">
        <v>948</v>
      </c>
      <c r="G31" s="3" t="n">
        <v>62097.5</v>
      </c>
      <c r="H31" s="3" t="n">
        <v>31694</v>
      </c>
      <c r="I31" s="3" t="n">
        <v>1486.4</v>
      </c>
      <c r="J31" s="3" t="n">
        <v>28917.1</v>
      </c>
      <c r="K31" s="2" t="n">
        <v>12</v>
      </c>
      <c r="L31" s="4" t="n">
        <v>0.46567253</v>
      </c>
    </row>
    <row r="32">
      <c r="A32" s="2" t="inlineStr">
        <is>
          <t>NLD</t>
        </is>
      </c>
      <c r="B32" s="2" t="inlineStr">
        <is>
          <t>2025-07</t>
        </is>
      </c>
      <c r="C32" s="2" t="n">
        <v>18</v>
      </c>
      <c r="D32" s="2" t="n">
        <v>1309</v>
      </c>
      <c r="E32" s="3" t="n">
        <v>74804.2</v>
      </c>
      <c r="F32" s="3" t="n">
        <v>948</v>
      </c>
      <c r="G32" s="3" t="n">
        <v>73856.2</v>
      </c>
      <c r="H32" s="3" t="n">
        <v>39217</v>
      </c>
      <c r="I32" s="3" t="n">
        <v>1682.08</v>
      </c>
      <c r="J32" s="3" t="n">
        <v>32957.12</v>
      </c>
      <c r="K32" s="2" t="n">
        <v>12</v>
      </c>
      <c r="L32" s="4" t="n">
        <v>0.44623363</v>
      </c>
    </row>
    <row r="33">
      <c r="A33" s="2" t="inlineStr">
        <is>
          <t>NLD</t>
        </is>
      </c>
      <c r="B33" s="2" t="inlineStr">
        <is>
          <t>2025-08</t>
        </is>
      </c>
      <c r="C33" s="2" t="n">
        <v>17</v>
      </c>
      <c r="D33" s="2" t="n">
        <v>938</v>
      </c>
      <c r="E33" s="3" t="n">
        <v>47562.56</v>
      </c>
      <c r="F33" s="3" t="n">
        <v>948</v>
      </c>
      <c r="G33" s="3" t="n">
        <v>46614.56</v>
      </c>
      <c r="H33" s="3" t="n">
        <v>24609.5</v>
      </c>
      <c r="I33" s="3" t="n">
        <v>1254.56</v>
      </c>
      <c r="J33" s="3" t="n">
        <v>20750.5</v>
      </c>
      <c r="K33" s="2" t="n">
        <v>12</v>
      </c>
      <c r="L33" s="4" t="n">
        <v>0.44515061</v>
      </c>
    </row>
    <row r="34">
      <c r="A34" s="2" t="inlineStr">
        <is>
          <t>NLD</t>
        </is>
      </c>
      <c r="B34" s="2" t="inlineStr">
        <is>
          <t>2025-09</t>
        </is>
      </c>
      <c r="C34" s="2" t="n">
        <v>17</v>
      </c>
      <c r="D34" s="2" t="n">
        <v>1106</v>
      </c>
      <c r="E34" s="3" t="n">
        <v>61093.16</v>
      </c>
      <c r="F34" s="3" t="n">
        <v>948</v>
      </c>
      <c r="G34" s="3" t="n">
        <v>60145.16</v>
      </c>
      <c r="H34" s="3" t="n">
        <v>33506</v>
      </c>
      <c r="I34" s="3" t="n">
        <v>1442.72</v>
      </c>
      <c r="J34" s="3" t="n">
        <v>25196.44</v>
      </c>
      <c r="K34" s="2" t="n">
        <v>12</v>
      </c>
      <c r="L34" s="4" t="n">
        <v>0.41892714</v>
      </c>
    </row>
    <row r="35">
      <c r="A35" s="2" t="inlineStr">
        <is>
          <t>NLD</t>
        </is>
      </c>
      <c r="B35" s="2" t="inlineStr">
        <is>
          <t>2025-10</t>
        </is>
      </c>
      <c r="C35" s="2" t="n">
        <v>18</v>
      </c>
      <c r="D35" s="2" t="n">
        <v>1098</v>
      </c>
      <c r="E35" s="3" t="n">
        <v>65305.26</v>
      </c>
      <c r="F35" s="3" t="n">
        <v>948</v>
      </c>
      <c r="G35" s="3" t="n">
        <v>64357.26</v>
      </c>
      <c r="H35" s="3" t="n">
        <v>33819</v>
      </c>
      <c r="I35" s="3" t="n">
        <v>1445.76</v>
      </c>
      <c r="J35" s="3" t="n">
        <v>29092.5</v>
      </c>
      <c r="K35" s="2" t="n">
        <v>12</v>
      </c>
      <c r="L35" s="4" t="n">
        <v>0.4520469</v>
      </c>
    </row>
    <row r="36">
      <c r="A36" s="2" t="inlineStr">
        <is>
          <t>NLD</t>
        </is>
      </c>
      <c r="B36" s="2" t="inlineStr">
        <is>
          <t>2025-11</t>
        </is>
      </c>
      <c r="C36" s="2" t="n">
        <v>18</v>
      </c>
      <c r="D36" s="2" t="n">
        <v>1046</v>
      </c>
      <c r="E36" s="3" t="n">
        <v>61670.96</v>
      </c>
      <c r="F36" s="3" t="n">
        <v>948</v>
      </c>
      <c r="G36" s="3" t="n">
        <v>60722.96</v>
      </c>
      <c r="H36" s="3" t="n">
        <v>32333</v>
      </c>
      <c r="I36" s="3" t="n">
        <v>1387.52</v>
      </c>
      <c r="J36" s="3" t="n">
        <v>27002.44</v>
      </c>
      <c r="K36" s="2" t="n">
        <v>12</v>
      </c>
      <c r="L36" s="4" t="n">
        <v>0.44468254</v>
      </c>
    </row>
    <row r="37">
      <c r="A37" s="2" t="inlineStr">
        <is>
          <t>NLD</t>
        </is>
      </c>
      <c r="B37" s="2" t="inlineStr">
        <is>
          <t>2025-12</t>
        </is>
      </c>
      <c r="C37" s="2" t="n">
        <v>16</v>
      </c>
      <c r="D37" s="2" t="n">
        <v>849</v>
      </c>
      <c r="E37" s="3" t="n">
        <v>46830.66</v>
      </c>
      <c r="F37" s="3" t="n">
        <v>948</v>
      </c>
      <c r="G37" s="3" t="n">
        <v>45882.66</v>
      </c>
      <c r="H37" s="3" t="n">
        <v>24298.5</v>
      </c>
      <c r="I37" s="3" t="n">
        <v>1142.88</v>
      </c>
      <c r="J37" s="3" t="n">
        <v>20441.28</v>
      </c>
      <c r="K37" s="2" t="n">
        <v>12</v>
      </c>
      <c r="L37" s="4" t="n">
        <v>0.4455121</v>
      </c>
    </row>
    <row r="38">
      <c r="A38" s="2" t="inlineStr">
        <is>
          <t>POL</t>
        </is>
      </c>
      <c r="B38" s="2" t="inlineStr">
        <is>
          <t>2025-01</t>
        </is>
      </c>
      <c r="C38" s="2" t="n">
        <v>18</v>
      </c>
      <c r="D38" s="2" t="n">
        <v>1253</v>
      </c>
      <c r="E38" s="3" t="n">
        <v>76064.7</v>
      </c>
      <c r="F38" s="3" t="n">
        <v>1215.96</v>
      </c>
      <c r="G38" s="3" t="n">
        <v>74848.74000000001</v>
      </c>
      <c r="H38" s="3" t="n">
        <v>37023</v>
      </c>
      <c r="I38" s="3" t="n">
        <v>1757.19</v>
      </c>
      <c r="J38" s="3" t="n">
        <v>36068.55</v>
      </c>
      <c r="K38" s="2" t="n">
        <v>15</v>
      </c>
      <c r="L38" s="4" t="n">
        <v>0.48188587</v>
      </c>
    </row>
    <row r="39">
      <c r="A39" s="2" t="inlineStr">
        <is>
          <t>POL</t>
        </is>
      </c>
      <c r="B39" s="2" t="inlineStr">
        <is>
          <t>2025-02</t>
        </is>
      </c>
      <c r="C39" s="2" t="n">
        <v>18</v>
      </c>
      <c r="D39" s="2" t="n">
        <v>1094</v>
      </c>
      <c r="E39" s="3" t="n">
        <v>67048.8</v>
      </c>
      <c r="F39" s="3" t="n">
        <v>1237.65</v>
      </c>
      <c r="G39" s="3" t="n">
        <v>65811.14999999999</v>
      </c>
      <c r="H39" s="3" t="n">
        <v>32346</v>
      </c>
      <c r="I39" s="3" t="n">
        <v>1561.62</v>
      </c>
      <c r="J39" s="3" t="n">
        <v>31903.53</v>
      </c>
      <c r="K39" s="2" t="n">
        <v>15</v>
      </c>
      <c r="L39" s="4" t="n">
        <v>0.48477393</v>
      </c>
    </row>
    <row r="40">
      <c r="A40" s="2" t="inlineStr">
        <is>
          <t>POL</t>
        </is>
      </c>
      <c r="B40" s="2" t="inlineStr">
        <is>
          <t>2025-03</t>
        </is>
      </c>
      <c r="C40" s="2" t="n">
        <v>17</v>
      </c>
      <c r="D40" s="2" t="n">
        <v>1084</v>
      </c>
      <c r="E40" s="3" t="n">
        <v>63110.08</v>
      </c>
      <c r="F40" s="3" t="n">
        <v>1234.74</v>
      </c>
      <c r="G40" s="3" t="n">
        <v>61875.34</v>
      </c>
      <c r="H40" s="3" t="n">
        <v>31711</v>
      </c>
      <c r="I40" s="3" t="n">
        <v>1537.32</v>
      </c>
      <c r="J40" s="3" t="n">
        <v>28627.02</v>
      </c>
      <c r="K40" s="2" t="n">
        <v>15</v>
      </c>
      <c r="L40" s="4" t="n">
        <v>0.46265637</v>
      </c>
    </row>
    <row r="41">
      <c r="A41" s="2" t="inlineStr">
        <is>
          <t>POL</t>
        </is>
      </c>
      <c r="B41" s="2" t="inlineStr">
        <is>
          <t>2025-04</t>
        </is>
      </c>
      <c r="C41" s="2" t="n">
        <v>17</v>
      </c>
      <c r="D41" s="2" t="n">
        <v>1107</v>
      </c>
      <c r="E41" s="3" t="n">
        <v>60875.13</v>
      </c>
      <c r="F41" s="3" t="n">
        <v>1210.65</v>
      </c>
      <c r="G41" s="3" t="n">
        <v>59664.48</v>
      </c>
      <c r="H41" s="3" t="n">
        <v>29198.5</v>
      </c>
      <c r="I41" s="3" t="n">
        <v>1565.61</v>
      </c>
      <c r="J41" s="3" t="n">
        <v>28900.37</v>
      </c>
      <c r="K41" s="2" t="n">
        <v>15</v>
      </c>
      <c r="L41" s="4" t="n">
        <v>0.48438149</v>
      </c>
    </row>
    <row r="42">
      <c r="A42" s="2" t="inlineStr">
        <is>
          <t>POL</t>
        </is>
      </c>
      <c r="B42" s="2" t="inlineStr">
        <is>
          <t>2025-05</t>
        </is>
      </c>
      <c r="C42" s="2" t="n">
        <v>18</v>
      </c>
      <c r="D42" s="2" t="n">
        <v>1179</v>
      </c>
      <c r="E42" s="3" t="n">
        <v>69680.8</v>
      </c>
      <c r="F42" s="3" t="n">
        <v>1213.92</v>
      </c>
      <c r="G42" s="3" t="n">
        <v>68466.88</v>
      </c>
      <c r="H42" s="3" t="n">
        <v>34260</v>
      </c>
      <c r="I42" s="3" t="n">
        <v>1666.17</v>
      </c>
      <c r="J42" s="3" t="n">
        <v>32540.71</v>
      </c>
      <c r="K42" s="2" t="n">
        <v>15</v>
      </c>
      <c r="L42" s="4" t="n">
        <v>0.47527666</v>
      </c>
    </row>
    <row r="43">
      <c r="A43" s="2" t="inlineStr">
        <is>
          <t>POL</t>
        </is>
      </c>
      <c r="B43" s="2" t="inlineStr">
        <is>
          <t>2025-06</t>
        </is>
      </c>
      <c r="C43" s="2" t="n">
        <v>17</v>
      </c>
      <c r="D43" s="2" t="n">
        <v>996</v>
      </c>
      <c r="E43" s="3" t="n">
        <v>59248.42</v>
      </c>
      <c r="F43" s="3" t="n">
        <v>1210.5</v>
      </c>
      <c r="G43" s="3" t="n">
        <v>58037.92</v>
      </c>
      <c r="H43" s="3" t="n">
        <v>29025</v>
      </c>
      <c r="I43" s="3" t="n">
        <v>1429.08</v>
      </c>
      <c r="J43" s="3" t="n">
        <v>27583.84</v>
      </c>
      <c r="K43" s="2" t="n">
        <v>15</v>
      </c>
      <c r="L43" s="4" t="n">
        <v>0.47527272</v>
      </c>
    </row>
    <row r="44">
      <c r="A44" s="2" t="inlineStr">
        <is>
          <t>POL</t>
        </is>
      </c>
      <c r="B44" s="2" t="inlineStr">
        <is>
          <t>2025-07</t>
        </is>
      </c>
      <c r="C44" s="2" t="n">
        <v>18</v>
      </c>
      <c r="D44" s="2" t="n">
        <v>1047</v>
      </c>
      <c r="E44" s="3" t="n">
        <v>62049.71</v>
      </c>
      <c r="F44" s="3" t="n">
        <v>1213.83</v>
      </c>
      <c r="G44" s="3" t="n">
        <v>60835.88</v>
      </c>
      <c r="H44" s="3" t="n">
        <v>31167</v>
      </c>
      <c r="I44" s="3" t="n">
        <v>1503.81</v>
      </c>
      <c r="J44" s="3" t="n">
        <v>28165.07</v>
      </c>
      <c r="K44" s="2" t="n">
        <v>15</v>
      </c>
      <c r="L44" s="4" t="n">
        <v>0.46296807</v>
      </c>
    </row>
    <row r="45">
      <c r="A45" s="2" t="inlineStr">
        <is>
          <t>POL</t>
        </is>
      </c>
      <c r="B45" s="2" t="inlineStr">
        <is>
          <t>2025-08</t>
        </is>
      </c>
      <c r="C45" s="2" t="n">
        <v>17</v>
      </c>
      <c r="D45" s="2" t="n">
        <v>1171</v>
      </c>
      <c r="E45" s="3" t="n">
        <v>68449.27</v>
      </c>
      <c r="F45" s="3" t="n">
        <v>1211.79</v>
      </c>
      <c r="G45" s="3" t="n">
        <v>67237.48</v>
      </c>
      <c r="H45" s="3" t="n">
        <v>34588</v>
      </c>
      <c r="I45" s="3" t="n">
        <v>1644.33</v>
      </c>
      <c r="J45" s="3" t="n">
        <v>31005.15</v>
      </c>
      <c r="K45" s="2" t="n">
        <v>15</v>
      </c>
      <c r="L45" s="4" t="n">
        <v>0.46112897</v>
      </c>
    </row>
    <row r="46">
      <c r="A46" s="2" t="inlineStr">
        <is>
          <t>POL</t>
        </is>
      </c>
      <c r="B46" s="2" t="inlineStr">
        <is>
          <t>2025-09</t>
        </is>
      </c>
      <c r="C46" s="2" t="n">
        <v>17</v>
      </c>
      <c r="D46" s="2" t="n">
        <v>925</v>
      </c>
      <c r="E46" s="3" t="n">
        <v>49915.4</v>
      </c>
      <c r="F46" s="3" t="n">
        <v>1212.45</v>
      </c>
      <c r="G46" s="3" t="n">
        <v>48702.95</v>
      </c>
      <c r="H46" s="3" t="n">
        <v>26840.5</v>
      </c>
      <c r="I46" s="3" t="n">
        <v>1341.75</v>
      </c>
      <c r="J46" s="3" t="n">
        <v>20520.7</v>
      </c>
      <c r="K46" s="2" t="n">
        <v>15</v>
      </c>
      <c r="L46" s="4" t="n">
        <v>0.42134409</v>
      </c>
    </row>
    <row r="47">
      <c r="A47" s="2" t="inlineStr">
        <is>
          <t>POL</t>
        </is>
      </c>
      <c r="B47" s="2" t="inlineStr">
        <is>
          <t>2025-10</t>
        </is>
      </c>
      <c r="C47" s="2" t="n">
        <v>18</v>
      </c>
      <c r="D47" s="2" t="n">
        <v>1184</v>
      </c>
      <c r="E47" s="3" t="n">
        <v>69915.22</v>
      </c>
      <c r="F47" s="3" t="n">
        <v>1215.36</v>
      </c>
      <c r="G47" s="3" t="n">
        <v>68699.86</v>
      </c>
      <c r="H47" s="3" t="n">
        <v>35037.5</v>
      </c>
      <c r="I47" s="3" t="n">
        <v>1672.32</v>
      </c>
      <c r="J47" s="3" t="n">
        <v>31990.04</v>
      </c>
      <c r="K47" s="2" t="n">
        <v>15</v>
      </c>
      <c r="L47" s="4" t="n">
        <v>0.46564927</v>
      </c>
    </row>
    <row r="48">
      <c r="A48" s="2" t="inlineStr">
        <is>
          <t>POL</t>
        </is>
      </c>
      <c r="B48" s="2" t="inlineStr">
        <is>
          <t>2025-11</t>
        </is>
      </c>
      <c r="C48" s="2" t="n">
        <v>18</v>
      </c>
      <c r="D48" s="2" t="n">
        <v>1081</v>
      </c>
      <c r="E48" s="3" t="n">
        <v>65560.87</v>
      </c>
      <c r="F48" s="3" t="n">
        <v>1218.54</v>
      </c>
      <c r="G48" s="3" t="n">
        <v>64342.33</v>
      </c>
      <c r="H48" s="3" t="n">
        <v>33154</v>
      </c>
      <c r="I48" s="3" t="n">
        <v>1545.63</v>
      </c>
      <c r="J48" s="3" t="n">
        <v>29642.7</v>
      </c>
      <c r="K48" s="2" t="n">
        <v>15</v>
      </c>
      <c r="L48" s="4" t="n">
        <v>0.46070293</v>
      </c>
    </row>
    <row r="49">
      <c r="A49" s="2" t="inlineStr">
        <is>
          <t>POL</t>
        </is>
      </c>
      <c r="B49" s="2" t="inlineStr">
        <is>
          <t>2025-12</t>
        </is>
      </c>
      <c r="C49" s="2" t="n">
        <v>16</v>
      </c>
      <c r="D49" s="2" t="n">
        <v>1042</v>
      </c>
      <c r="E49" s="3" t="n">
        <v>64589.39</v>
      </c>
      <c r="F49" s="3" t="n">
        <v>1222.53</v>
      </c>
      <c r="G49" s="3" t="n">
        <v>63366.86</v>
      </c>
      <c r="H49" s="3" t="n">
        <v>32347</v>
      </c>
      <c r="I49" s="3" t="n">
        <v>1473.66</v>
      </c>
      <c r="J49" s="3" t="n">
        <v>29546.2</v>
      </c>
      <c r="K49" s="2" t="n">
        <v>15</v>
      </c>
      <c r="L49" s="4" t="n">
        <v>0.46627212</v>
      </c>
    </row>
    <row r="50">
      <c r="A50" s="2" t="inlineStr">
        <is>
          <t>CZE</t>
        </is>
      </c>
      <c r="B50" s="2" t="inlineStr">
        <is>
          <t>2025-01</t>
        </is>
      </c>
      <c r="C50" s="2" t="n">
        <v>18</v>
      </c>
      <c r="D50" s="2" t="n">
        <v>1275</v>
      </c>
      <c r="E50" s="3" t="n">
        <v>80923.92</v>
      </c>
      <c r="F50" s="3" t="n">
        <v>1575.03</v>
      </c>
      <c r="G50" s="3" t="n">
        <v>79348.89</v>
      </c>
      <c r="H50" s="3" t="n">
        <v>38637.5</v>
      </c>
      <c r="I50" s="3" t="n">
        <v>1924.5</v>
      </c>
      <c r="J50" s="3" t="n">
        <v>38786.89</v>
      </c>
      <c r="K50" s="2" t="n">
        <v>24</v>
      </c>
      <c r="L50" s="4" t="n">
        <v>0.48881453</v>
      </c>
    </row>
    <row r="51">
      <c r="A51" s="2" t="inlineStr">
        <is>
          <t>CZE</t>
        </is>
      </c>
      <c r="B51" s="2" t="inlineStr">
        <is>
          <t>2025-02</t>
        </is>
      </c>
      <c r="C51" s="2" t="n">
        <v>18</v>
      </c>
      <c r="D51" s="2" t="n">
        <v>1150</v>
      </c>
      <c r="E51" s="3" t="n">
        <v>68815.72</v>
      </c>
      <c r="F51" s="3" t="n">
        <v>1580.47</v>
      </c>
      <c r="G51" s="3" t="n">
        <v>67235.25</v>
      </c>
      <c r="H51" s="3" t="n">
        <v>32466.5</v>
      </c>
      <c r="I51" s="3" t="n">
        <v>1757</v>
      </c>
      <c r="J51" s="3" t="n">
        <v>33011.75</v>
      </c>
      <c r="K51" s="2" t="n">
        <v>24</v>
      </c>
      <c r="L51" s="4" t="n">
        <v>0.49098873</v>
      </c>
    </row>
    <row r="52">
      <c r="A52" s="2" t="inlineStr">
        <is>
          <t>CZE</t>
        </is>
      </c>
      <c r="B52" s="2" t="inlineStr">
        <is>
          <t>2025-03</t>
        </is>
      </c>
      <c r="C52" s="2" t="n">
        <v>17</v>
      </c>
      <c r="D52" s="2" t="n">
        <v>1203</v>
      </c>
      <c r="E52" s="3" t="n">
        <v>69678.77</v>
      </c>
      <c r="F52" s="3" t="n">
        <v>1585.22</v>
      </c>
      <c r="G52" s="3" t="n">
        <v>68093.55</v>
      </c>
      <c r="H52" s="3" t="n">
        <v>33971</v>
      </c>
      <c r="I52" s="3" t="n">
        <v>1816.02</v>
      </c>
      <c r="J52" s="3" t="n">
        <v>32306.53</v>
      </c>
      <c r="K52" s="2" t="n">
        <v>24</v>
      </c>
      <c r="L52" s="4" t="n">
        <v>0.47444332</v>
      </c>
    </row>
    <row r="53">
      <c r="A53" s="2" t="inlineStr">
        <is>
          <t>CZE</t>
        </is>
      </c>
      <c r="B53" s="2" t="inlineStr">
        <is>
          <t>2025-04</t>
        </is>
      </c>
      <c r="C53" s="2" t="n">
        <v>17</v>
      </c>
      <c r="D53" s="2" t="n">
        <v>968</v>
      </c>
      <c r="E53" s="3" t="n">
        <v>54976.29</v>
      </c>
      <c r="F53" s="3" t="n">
        <v>1582.85</v>
      </c>
      <c r="G53" s="3" t="n">
        <v>53393.44</v>
      </c>
      <c r="H53" s="3" t="n">
        <v>25378.5</v>
      </c>
      <c r="I53" s="3" t="n">
        <v>1501.12</v>
      </c>
      <c r="J53" s="3" t="n">
        <v>26513.82</v>
      </c>
      <c r="K53" s="2" t="n">
        <v>24</v>
      </c>
      <c r="L53" s="4" t="n">
        <v>0.49657449</v>
      </c>
    </row>
    <row r="54">
      <c r="A54" s="2" t="inlineStr">
        <is>
          <t>CZE</t>
        </is>
      </c>
      <c r="B54" s="2" t="inlineStr">
        <is>
          <t>2025-05</t>
        </is>
      </c>
      <c r="C54" s="2" t="n">
        <v>18</v>
      </c>
      <c r="D54" s="2" t="n">
        <v>1167</v>
      </c>
      <c r="E54" s="3" t="n">
        <v>74278.85000000001</v>
      </c>
      <c r="F54" s="3" t="n">
        <v>1590.21</v>
      </c>
      <c r="G54" s="3" t="n">
        <v>72688.64</v>
      </c>
      <c r="H54" s="3" t="n">
        <v>34927</v>
      </c>
      <c r="I54" s="3" t="n">
        <v>1779.78</v>
      </c>
      <c r="J54" s="3" t="n">
        <v>35981.86</v>
      </c>
      <c r="K54" s="2" t="n">
        <v>24</v>
      </c>
      <c r="L54" s="4" t="n">
        <v>0.49501353</v>
      </c>
    </row>
    <row r="55">
      <c r="A55" s="2" t="inlineStr">
        <is>
          <t>CZE</t>
        </is>
      </c>
      <c r="B55" s="2" t="inlineStr">
        <is>
          <t>2025-06</t>
        </is>
      </c>
      <c r="C55" s="2" t="n">
        <v>17</v>
      </c>
      <c r="D55" s="2" t="n">
        <v>1087</v>
      </c>
      <c r="E55" s="3" t="n">
        <v>62183.71</v>
      </c>
      <c r="F55" s="3" t="n">
        <v>1597.82</v>
      </c>
      <c r="G55" s="3" t="n">
        <v>60585.89</v>
      </c>
      <c r="H55" s="3" t="n">
        <v>28600</v>
      </c>
      <c r="I55" s="3" t="n">
        <v>1660.58</v>
      </c>
      <c r="J55" s="3" t="n">
        <v>30325.31</v>
      </c>
      <c r="K55" s="2" t="n">
        <v>24</v>
      </c>
      <c r="L55" s="4" t="n">
        <v>0.5005342</v>
      </c>
    </row>
    <row r="56">
      <c r="A56" s="2" t="inlineStr">
        <is>
          <t>CZE</t>
        </is>
      </c>
      <c r="B56" s="2" t="inlineStr">
        <is>
          <t>2025-07</t>
        </is>
      </c>
      <c r="C56" s="2" t="n">
        <v>18</v>
      </c>
      <c r="D56" s="2" t="n">
        <v>1060</v>
      </c>
      <c r="E56" s="3" t="n">
        <v>62273.5</v>
      </c>
      <c r="F56" s="3" t="n">
        <v>1609.48</v>
      </c>
      <c r="G56" s="3" t="n">
        <v>60664.02</v>
      </c>
      <c r="H56" s="3" t="n">
        <v>29576.5</v>
      </c>
      <c r="I56" s="3" t="n">
        <v>1636.4</v>
      </c>
      <c r="J56" s="3" t="n">
        <v>29451.12</v>
      </c>
      <c r="K56" s="2" t="n">
        <v>24</v>
      </c>
      <c r="L56" s="4" t="n">
        <v>0.4854792</v>
      </c>
    </row>
    <row r="57">
      <c r="A57" s="2" t="inlineStr">
        <is>
          <t>CZE</t>
        </is>
      </c>
      <c r="B57" s="2" t="inlineStr">
        <is>
          <t>2025-08</t>
        </is>
      </c>
      <c r="C57" s="2" t="n">
        <v>17</v>
      </c>
      <c r="D57" s="2" t="n">
        <v>1153</v>
      </c>
      <c r="E57" s="3" t="n">
        <v>71200.34</v>
      </c>
      <c r="F57" s="3" t="n">
        <v>1616.58</v>
      </c>
      <c r="G57" s="3" t="n">
        <v>69583.75999999999</v>
      </c>
      <c r="H57" s="3" t="n">
        <v>33797.5</v>
      </c>
      <c r="I57" s="3" t="n">
        <v>1749.02</v>
      </c>
      <c r="J57" s="3" t="n">
        <v>34037.24</v>
      </c>
      <c r="K57" s="2" t="n">
        <v>24</v>
      </c>
      <c r="L57" s="4" t="n">
        <v>0.48915494</v>
      </c>
    </row>
    <row r="58">
      <c r="A58" s="2" t="inlineStr">
        <is>
          <t>CZE</t>
        </is>
      </c>
      <c r="B58" s="2" t="inlineStr">
        <is>
          <t>2025-09</t>
        </is>
      </c>
      <c r="C58" s="2" t="n">
        <v>17</v>
      </c>
      <c r="D58" s="2" t="n">
        <v>1104</v>
      </c>
      <c r="E58" s="3" t="n">
        <v>63760.08</v>
      </c>
      <c r="F58" s="3" t="n">
        <v>1627.86</v>
      </c>
      <c r="G58" s="3" t="n">
        <v>62132.22</v>
      </c>
      <c r="H58" s="3" t="n">
        <v>31863</v>
      </c>
      <c r="I58" s="3" t="n">
        <v>1683.36</v>
      </c>
      <c r="J58" s="3" t="n">
        <v>28585.86</v>
      </c>
      <c r="K58" s="2" t="n">
        <v>24</v>
      </c>
      <c r="L58" s="4" t="n">
        <v>0.4600811</v>
      </c>
    </row>
    <row r="59">
      <c r="A59" s="2" t="inlineStr">
        <is>
          <t>CZE</t>
        </is>
      </c>
      <c r="B59" s="2" t="inlineStr">
        <is>
          <t>2025-10</t>
        </is>
      </c>
      <c r="C59" s="2" t="n">
        <v>18</v>
      </c>
      <c r="D59" s="2" t="n">
        <v>1288</v>
      </c>
      <c r="E59" s="3" t="n">
        <v>83858.3</v>
      </c>
      <c r="F59" s="3" t="n">
        <v>1629.94</v>
      </c>
      <c r="G59" s="3" t="n">
        <v>82228.36</v>
      </c>
      <c r="H59" s="3" t="n">
        <v>39989.5</v>
      </c>
      <c r="I59" s="3" t="n">
        <v>1941.92</v>
      </c>
      <c r="J59" s="3" t="n">
        <v>40296.94</v>
      </c>
      <c r="K59" s="2" t="n">
        <v>24</v>
      </c>
      <c r="L59" s="4" t="n">
        <v>0.49006134</v>
      </c>
    </row>
    <row r="60">
      <c r="A60" s="2" t="inlineStr">
        <is>
          <t>CZE</t>
        </is>
      </c>
      <c r="B60" s="2" t="inlineStr">
        <is>
          <t>2025-11</t>
        </is>
      </c>
      <c r="C60" s="2" t="n">
        <v>18</v>
      </c>
      <c r="D60" s="2" t="n">
        <v>1189</v>
      </c>
      <c r="E60" s="3" t="n">
        <v>74614.67</v>
      </c>
      <c r="F60" s="3" t="n">
        <v>1635.43</v>
      </c>
      <c r="G60" s="3" t="n">
        <v>72979.24000000001</v>
      </c>
      <c r="H60" s="3" t="n">
        <v>35663.5</v>
      </c>
      <c r="I60" s="3" t="n">
        <v>1809.26</v>
      </c>
      <c r="J60" s="3" t="n">
        <v>35506.48</v>
      </c>
      <c r="K60" s="2" t="n">
        <v>24</v>
      </c>
      <c r="L60" s="4" t="n">
        <v>0.4865285</v>
      </c>
    </row>
    <row r="61">
      <c r="A61" s="2" t="inlineStr">
        <is>
          <t>CZE</t>
        </is>
      </c>
      <c r="B61" s="2" t="inlineStr">
        <is>
          <t>2025-12</t>
        </is>
      </c>
      <c r="C61" s="2" t="n">
        <v>16</v>
      </c>
      <c r="D61" s="2" t="n">
        <v>1089</v>
      </c>
      <c r="E61" s="3" t="n">
        <v>68007.92999999999</v>
      </c>
      <c r="F61" s="3" t="n">
        <v>1633.72</v>
      </c>
      <c r="G61" s="3" t="n">
        <v>66374.21000000001</v>
      </c>
      <c r="H61" s="3" t="n">
        <v>32191.5</v>
      </c>
      <c r="I61" s="3" t="n">
        <v>1651.26</v>
      </c>
      <c r="J61" s="3" t="n">
        <v>32531.45</v>
      </c>
      <c r="K61" s="2" t="n">
        <v>24</v>
      </c>
      <c r="L61" s="4" t="n">
        <v>0.49012184</v>
      </c>
    </row>
    <row r="62">
      <c r="A62" s="2" t="inlineStr">
        <is>
          <t>ESP</t>
        </is>
      </c>
      <c r="B62" s="2" t="inlineStr">
        <is>
          <t>2025-01</t>
        </is>
      </c>
      <c r="C62" s="2" t="n">
        <v>18</v>
      </c>
      <c r="D62" s="2" t="n">
        <v>1190</v>
      </c>
      <c r="E62" s="3" t="n">
        <v>74395.22</v>
      </c>
      <c r="F62" s="3" t="n">
        <v>1785</v>
      </c>
      <c r="G62" s="3" t="n">
        <v>72610.22</v>
      </c>
      <c r="H62" s="3" t="n">
        <v>33861</v>
      </c>
      <c r="I62" s="3" t="n">
        <v>1941.5</v>
      </c>
      <c r="J62" s="3" t="n">
        <v>36807.72</v>
      </c>
      <c r="K62" s="2" t="n">
        <v>21</v>
      </c>
      <c r="L62" s="4" t="n">
        <v>0.50692203</v>
      </c>
    </row>
    <row r="63">
      <c r="A63" s="2" t="inlineStr">
        <is>
          <t>ESP</t>
        </is>
      </c>
      <c r="B63" s="2" t="inlineStr">
        <is>
          <t>2025-02</t>
        </is>
      </c>
      <c r="C63" s="2" t="n">
        <v>18</v>
      </c>
      <c r="D63" s="2" t="n">
        <v>991</v>
      </c>
      <c r="E63" s="3" t="n">
        <v>60327.46</v>
      </c>
      <c r="F63" s="3" t="n">
        <v>1785</v>
      </c>
      <c r="G63" s="3" t="n">
        <v>58542.46</v>
      </c>
      <c r="H63" s="3" t="n">
        <v>27263</v>
      </c>
      <c r="I63" s="3" t="n">
        <v>1652.95</v>
      </c>
      <c r="J63" s="3" t="n">
        <v>29626.51</v>
      </c>
      <c r="K63" s="2" t="n">
        <v>21</v>
      </c>
      <c r="L63" s="4" t="n">
        <v>0.50606876</v>
      </c>
    </row>
    <row r="64">
      <c r="A64" s="2" t="inlineStr">
        <is>
          <t>ESP</t>
        </is>
      </c>
      <c r="B64" s="2" t="inlineStr">
        <is>
          <t>2025-03</t>
        </is>
      </c>
      <c r="C64" s="2" t="n">
        <v>17</v>
      </c>
      <c r="D64" s="2" t="n">
        <v>1008</v>
      </c>
      <c r="E64" s="3" t="n">
        <v>58853.68</v>
      </c>
      <c r="F64" s="3" t="n">
        <v>1785</v>
      </c>
      <c r="G64" s="3" t="n">
        <v>57068.68</v>
      </c>
      <c r="H64" s="3" t="n">
        <v>28585.5</v>
      </c>
      <c r="I64" s="3" t="n">
        <v>1665.6</v>
      </c>
      <c r="J64" s="3" t="n">
        <v>26817.58</v>
      </c>
      <c r="K64" s="2" t="n">
        <v>21</v>
      </c>
      <c r="L64" s="4" t="n">
        <v>0.46991765</v>
      </c>
    </row>
    <row r="65">
      <c r="A65" s="2" t="inlineStr">
        <is>
          <t>ESP</t>
        </is>
      </c>
      <c r="B65" s="2" t="inlineStr">
        <is>
          <t>2025-04</t>
        </is>
      </c>
      <c r="C65" s="2" t="n">
        <v>17</v>
      </c>
      <c r="D65" s="2" t="n">
        <v>1096</v>
      </c>
      <c r="E65" s="3" t="n">
        <v>69827.92</v>
      </c>
      <c r="F65" s="3" t="n">
        <v>1785</v>
      </c>
      <c r="G65" s="3" t="n">
        <v>68042.92</v>
      </c>
      <c r="H65" s="3" t="n">
        <v>31926.5</v>
      </c>
      <c r="I65" s="3" t="n">
        <v>1793.2</v>
      </c>
      <c r="J65" s="3" t="n">
        <v>34323.22</v>
      </c>
      <c r="K65" s="2" t="n">
        <v>21</v>
      </c>
      <c r="L65" s="4" t="n">
        <v>0.50443485</v>
      </c>
    </row>
    <row r="66">
      <c r="A66" s="2" t="inlineStr">
        <is>
          <t>ESP</t>
        </is>
      </c>
      <c r="B66" s="2" t="inlineStr">
        <is>
          <t>2025-05</t>
        </is>
      </c>
      <c r="C66" s="2" t="n">
        <v>18</v>
      </c>
      <c r="D66" s="2" t="n">
        <v>1247</v>
      </c>
      <c r="E66" s="3" t="n">
        <v>78780.62</v>
      </c>
      <c r="F66" s="3" t="n">
        <v>1785</v>
      </c>
      <c r="G66" s="3" t="n">
        <v>76995.62</v>
      </c>
      <c r="H66" s="3" t="n">
        <v>35513</v>
      </c>
      <c r="I66" s="3" t="n">
        <v>2024.15</v>
      </c>
      <c r="J66" s="3" t="n">
        <v>39458.47</v>
      </c>
      <c r="K66" s="2" t="n">
        <v>21</v>
      </c>
      <c r="L66" s="4" t="n">
        <v>0.51247681</v>
      </c>
    </row>
    <row r="67">
      <c r="A67" s="2" t="inlineStr">
        <is>
          <t>ESP</t>
        </is>
      </c>
      <c r="B67" s="2" t="inlineStr">
        <is>
          <t>2025-06</t>
        </is>
      </c>
      <c r="C67" s="2" t="n">
        <v>17</v>
      </c>
      <c r="D67" s="2" t="n">
        <v>1321</v>
      </c>
      <c r="E67" s="3" t="n">
        <v>83312.67999999999</v>
      </c>
      <c r="F67" s="3" t="n">
        <v>1785</v>
      </c>
      <c r="G67" s="3" t="n">
        <v>81527.67999999999</v>
      </c>
      <c r="H67" s="3" t="n">
        <v>38390.5</v>
      </c>
      <c r="I67" s="3" t="n">
        <v>2119.45</v>
      </c>
      <c r="J67" s="3" t="n">
        <v>41017.73</v>
      </c>
      <c r="K67" s="2" t="n">
        <v>21</v>
      </c>
      <c r="L67" s="4" t="n">
        <v>0.50311416</v>
      </c>
    </row>
    <row r="68">
      <c r="A68" s="2" t="inlineStr">
        <is>
          <t>ESP</t>
        </is>
      </c>
      <c r="B68" s="2" t="inlineStr">
        <is>
          <t>2025-07</t>
        </is>
      </c>
      <c r="C68" s="2" t="n">
        <v>18</v>
      </c>
      <c r="D68" s="2" t="n">
        <v>1127</v>
      </c>
      <c r="E68" s="3" t="n">
        <v>72485.36</v>
      </c>
      <c r="F68" s="3" t="n">
        <v>1785</v>
      </c>
      <c r="G68" s="3" t="n">
        <v>70700.36</v>
      </c>
      <c r="H68" s="3" t="n">
        <v>34320.5</v>
      </c>
      <c r="I68" s="3" t="n">
        <v>1850.15</v>
      </c>
      <c r="J68" s="3" t="n">
        <v>34529.71</v>
      </c>
      <c r="K68" s="2" t="n">
        <v>21</v>
      </c>
      <c r="L68" s="4" t="n">
        <v>0.48839511</v>
      </c>
    </row>
    <row r="69">
      <c r="A69" s="2" t="inlineStr">
        <is>
          <t>ESP</t>
        </is>
      </c>
      <c r="B69" s="2" t="inlineStr">
        <is>
          <t>2025-08</t>
        </is>
      </c>
      <c r="C69" s="2" t="n">
        <v>17</v>
      </c>
      <c r="D69" s="2" t="n">
        <v>1143</v>
      </c>
      <c r="E69" s="3" t="n">
        <v>68790</v>
      </c>
      <c r="F69" s="3" t="n">
        <v>1785</v>
      </c>
      <c r="G69" s="3" t="n">
        <v>67005</v>
      </c>
      <c r="H69" s="3" t="n">
        <v>31953</v>
      </c>
      <c r="I69" s="3" t="n">
        <v>1861.35</v>
      </c>
      <c r="J69" s="3" t="n">
        <v>33190.65</v>
      </c>
      <c r="K69" s="2" t="n">
        <v>21</v>
      </c>
      <c r="L69" s="4" t="n">
        <v>0.49534587</v>
      </c>
    </row>
    <row r="70">
      <c r="A70" s="2" t="inlineStr">
        <is>
          <t>ESP</t>
        </is>
      </c>
      <c r="B70" s="2" t="inlineStr">
        <is>
          <t>2025-09</t>
        </is>
      </c>
      <c r="C70" s="2" t="n">
        <v>17</v>
      </c>
      <c r="D70" s="2" t="n">
        <v>1037</v>
      </c>
      <c r="E70" s="3" t="n">
        <v>63309.12</v>
      </c>
      <c r="F70" s="3" t="n">
        <v>1785</v>
      </c>
      <c r="G70" s="3" t="n">
        <v>61524.12</v>
      </c>
      <c r="H70" s="3" t="n">
        <v>30006.5</v>
      </c>
      <c r="I70" s="3" t="n">
        <v>1707.65</v>
      </c>
      <c r="J70" s="3" t="n">
        <v>29809.97</v>
      </c>
      <c r="K70" s="2" t="n">
        <v>21</v>
      </c>
      <c r="L70" s="4" t="n">
        <v>0.48452493</v>
      </c>
    </row>
    <row r="71">
      <c r="A71" s="2" t="inlineStr">
        <is>
          <t>ESP</t>
        </is>
      </c>
      <c r="B71" s="2" t="inlineStr">
        <is>
          <t>2025-10</t>
        </is>
      </c>
      <c r="C71" s="2" t="n">
        <v>18</v>
      </c>
      <c r="D71" s="2" t="n">
        <v>1407</v>
      </c>
      <c r="E71" s="3" t="n">
        <v>89281.67999999999</v>
      </c>
      <c r="F71" s="3" t="n">
        <v>1785</v>
      </c>
      <c r="G71" s="3" t="n">
        <v>87496.67999999999</v>
      </c>
      <c r="H71" s="3" t="n">
        <v>42042</v>
      </c>
      <c r="I71" s="3" t="n">
        <v>2256.15</v>
      </c>
      <c r="J71" s="3" t="n">
        <v>43198.53</v>
      </c>
      <c r="K71" s="2" t="n">
        <v>21</v>
      </c>
      <c r="L71" s="4" t="n">
        <v>0.49371622</v>
      </c>
    </row>
    <row r="72">
      <c r="A72" s="2" t="inlineStr">
        <is>
          <t>ESP</t>
        </is>
      </c>
      <c r="B72" s="2" t="inlineStr">
        <is>
          <t>2025-11</t>
        </is>
      </c>
      <c r="C72" s="2" t="n">
        <v>18</v>
      </c>
      <c r="D72" s="2" t="n">
        <v>1218</v>
      </c>
      <c r="E72" s="3" t="n">
        <v>79050</v>
      </c>
      <c r="F72" s="3" t="n">
        <v>1785</v>
      </c>
      <c r="G72" s="3" t="n">
        <v>77265</v>
      </c>
      <c r="H72" s="3" t="n">
        <v>37656</v>
      </c>
      <c r="I72" s="3" t="n">
        <v>1982.1</v>
      </c>
      <c r="J72" s="3" t="n">
        <v>37626.9</v>
      </c>
      <c r="K72" s="2" t="n">
        <v>21</v>
      </c>
      <c r="L72" s="4" t="n">
        <v>0.48698505</v>
      </c>
    </row>
    <row r="73">
      <c r="A73" s="2" t="inlineStr">
        <is>
          <t>ESP</t>
        </is>
      </c>
      <c r="B73" s="2" t="inlineStr">
        <is>
          <t>2025-12</t>
        </is>
      </c>
      <c r="C73" s="2" t="n">
        <v>16</v>
      </c>
      <c r="D73" s="2" t="n">
        <v>1146</v>
      </c>
      <c r="E73" s="3" t="n">
        <v>73845.17999999999</v>
      </c>
      <c r="F73" s="3" t="n">
        <v>1785</v>
      </c>
      <c r="G73" s="3" t="n">
        <v>72060.17999999999</v>
      </c>
      <c r="H73" s="3" t="n">
        <v>34713</v>
      </c>
      <c r="I73" s="3" t="n">
        <v>1853.7</v>
      </c>
      <c r="J73" s="3" t="n">
        <v>35493.48</v>
      </c>
      <c r="K73" s="2" t="n">
        <v>21</v>
      </c>
      <c r="L73" s="4" t="n">
        <v>0.49255331</v>
      </c>
    </row>
  </sheetData>
  <autoFilter ref="A1:L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19" customWidth="1" min="9" max="9"/>
    <col width="17" customWidth="1" min="10" max="10"/>
    <col width="16" customWidth="1" min="11" max="11"/>
  </cols>
  <sheetData>
    <row r="1" ht="29" customHeight="1">
      <c r="A1" s="1" t="inlineStr">
        <is>
          <t>country</t>
        </is>
      </c>
      <c r="B1" s="1" t="inlineStr">
        <is>
          <t>shipped_orders</t>
        </is>
      </c>
      <c r="C1" s="1" t="inlineStr">
        <is>
          <t>shipped_units</t>
        </is>
      </c>
      <c r="D1" s="1" t="inlineStr">
        <is>
          <t>gross_sales_eur</t>
        </is>
      </c>
      <c r="E1" s="1" t="inlineStr">
        <is>
          <t>refunds_eur</t>
        </is>
      </c>
      <c r="F1" s="1" t="inlineStr">
        <is>
          <t>net_sales_eur</t>
        </is>
      </c>
      <c r="G1" s="1" t="inlineStr">
        <is>
          <t>net_cogs_eur</t>
        </is>
      </c>
      <c r="H1" s="1" t="inlineStr">
        <is>
          <t>fulfillment_eur</t>
        </is>
      </c>
      <c r="I1" s="1" t="inlineStr">
        <is>
          <t>contribution_eur</t>
        </is>
      </c>
      <c r="J1" s="1" t="inlineStr">
        <is>
          <t>returned_units</t>
        </is>
      </c>
      <c r="K1" s="1" t="inlineStr">
        <is>
          <t>margin</t>
        </is>
      </c>
    </row>
    <row r="2">
      <c r="A2" s="2" t="inlineStr">
        <is>
          <t>DEU</t>
        </is>
      </c>
      <c r="B2" s="2" t="n">
        <v>209</v>
      </c>
      <c r="C2" s="2" t="n">
        <v>12153</v>
      </c>
      <c r="D2" s="3" t="n">
        <v>631244.76</v>
      </c>
      <c r="E2" s="3" t="n">
        <v>5453</v>
      </c>
      <c r="F2" s="3" t="n">
        <v>625791.76</v>
      </c>
      <c r="G2" s="3" t="n">
        <v>349980.5</v>
      </c>
      <c r="H2" s="3" t="n">
        <v>13445.7</v>
      </c>
      <c r="I2" s="3" t="n">
        <v>262365.56</v>
      </c>
      <c r="J2" s="2" t="n">
        <v>73</v>
      </c>
      <c r="K2" s="4" t="n">
        <v>0.41925378</v>
      </c>
    </row>
    <row r="3">
      <c r="A3" s="2" t="inlineStr">
        <is>
          <t>FRA</t>
        </is>
      </c>
      <c r="B3" s="2" t="n">
        <v>209</v>
      </c>
      <c r="C3" s="2" t="n">
        <v>11880</v>
      </c>
      <c r="D3" s="3" t="n">
        <v>640929.9399999999</v>
      </c>
      <c r="E3" s="3" t="n">
        <v>8699.040000000001</v>
      </c>
      <c r="F3" s="3" t="n">
        <v>632230.9</v>
      </c>
      <c r="G3" s="3" t="n">
        <v>341453</v>
      </c>
      <c r="H3" s="3" t="n">
        <v>14506.8</v>
      </c>
      <c r="I3" s="3" t="n">
        <v>276271.1</v>
      </c>
      <c r="J3" s="2" t="n">
        <v>144</v>
      </c>
      <c r="K3" s="4" t="n">
        <v>0.43697817</v>
      </c>
    </row>
    <row r="4">
      <c r="A4" s="2" t="inlineStr">
        <is>
          <t>NLD</t>
        </is>
      </c>
      <c r="B4" s="2" t="n">
        <v>209</v>
      </c>
      <c r="C4" s="2" t="n">
        <v>12576</v>
      </c>
      <c r="D4" s="3" t="n">
        <v>709108.84</v>
      </c>
      <c r="E4" s="3" t="n">
        <v>11376</v>
      </c>
      <c r="F4" s="3" t="n">
        <v>697732.84</v>
      </c>
      <c r="G4" s="3" t="n">
        <v>365495.5</v>
      </c>
      <c r="H4" s="3" t="n">
        <v>16593.12</v>
      </c>
      <c r="I4" s="3" t="n">
        <v>315644.22</v>
      </c>
      <c r="J4" s="2" t="n">
        <v>144</v>
      </c>
      <c r="K4" s="4" t="n">
        <v>0.4523855</v>
      </c>
    </row>
    <row r="5">
      <c r="A5" s="2" t="inlineStr">
        <is>
          <t>POL</t>
        </is>
      </c>
      <c r="B5" s="2" t="n">
        <v>209</v>
      </c>
      <c r="C5" s="2" t="n">
        <v>13163</v>
      </c>
      <c r="D5" s="3" t="n">
        <v>776507.79</v>
      </c>
      <c r="E5" s="3" t="n">
        <v>14617.92</v>
      </c>
      <c r="F5" s="3" t="n">
        <v>761889.87</v>
      </c>
      <c r="G5" s="3" t="n">
        <v>386697.5</v>
      </c>
      <c r="H5" s="3" t="n">
        <v>18698.49</v>
      </c>
      <c r="I5" s="3" t="n">
        <v>356493.88</v>
      </c>
      <c r="J5" s="2" t="n">
        <v>180</v>
      </c>
      <c r="K5" s="4" t="n">
        <v>0.46790736</v>
      </c>
    </row>
    <row r="6">
      <c r="A6" s="2" t="inlineStr">
        <is>
          <t>CZE</t>
        </is>
      </c>
      <c r="B6" s="2" t="n">
        <v>209</v>
      </c>
      <c r="C6" s="2" t="n">
        <v>13733</v>
      </c>
      <c r="D6" s="3" t="n">
        <v>834572.08</v>
      </c>
      <c r="E6" s="3" t="n">
        <v>19264.61</v>
      </c>
      <c r="F6" s="3" t="n">
        <v>815307.47</v>
      </c>
      <c r="G6" s="3" t="n">
        <v>397062</v>
      </c>
      <c r="H6" s="3" t="n">
        <v>20910.22</v>
      </c>
      <c r="I6" s="3" t="n">
        <v>397335.25</v>
      </c>
      <c r="J6" s="2" t="n">
        <v>288</v>
      </c>
      <c r="K6" s="4" t="n">
        <v>0.48734406</v>
      </c>
    </row>
    <row r="7">
      <c r="A7" s="2" t="inlineStr">
        <is>
          <t>ESP</t>
        </is>
      </c>
      <c r="B7" s="2" t="n">
        <v>209</v>
      </c>
      <c r="C7" s="2" t="n">
        <v>13931</v>
      </c>
      <c r="D7" s="3" t="n">
        <v>872258.92</v>
      </c>
      <c r="E7" s="3" t="n">
        <v>21420</v>
      </c>
      <c r="F7" s="3" t="n">
        <v>850838.92</v>
      </c>
      <c r="G7" s="3" t="n">
        <v>406230.5</v>
      </c>
      <c r="H7" s="3" t="n">
        <v>22707.95</v>
      </c>
      <c r="I7" s="3" t="n">
        <v>421900.47</v>
      </c>
      <c r="J7" s="2" t="n">
        <v>252</v>
      </c>
      <c r="K7" s="4" t="n">
        <v>0.49586409</v>
      </c>
    </row>
  </sheetData>
  <autoFilter ref="A1:K7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3" customWidth="1" min="4" max="4"/>
    <col width="19" customWidth="1" min="5" max="5"/>
    <col width="26" customWidth="1" min="6" max="6"/>
    <col width="62" customWidth="1" min="7" max="7"/>
    <col width="68" customWidth="1" min="8" max="8"/>
  </cols>
  <sheetData>
    <row r="1" ht="29" customHeight="1">
      <c r="A1" s="1" t="inlineStr">
        <is>
          <t>country</t>
        </is>
      </c>
      <c r="B1" s="1" t="inlineStr">
        <is>
          <t>year</t>
        </is>
      </c>
      <c r="C1" s="1" t="inlineStr">
        <is>
          <t>population</t>
        </is>
      </c>
      <c r="D1" s="1" t="inlineStr">
        <is>
          <t>gdp_per_capita_usd</t>
        </is>
      </c>
      <c r="E1" s="1" t="inlineStr">
        <is>
          <t>population_unit</t>
        </is>
      </c>
      <c r="F1" s="1" t="inlineStr">
        <is>
          <t>gdp_unit</t>
        </is>
      </c>
      <c r="G1" s="1" t="inlineStr">
        <is>
          <t>population_source</t>
        </is>
      </c>
      <c r="H1" s="1" t="inlineStr">
        <is>
          <t>gdp_source</t>
        </is>
      </c>
    </row>
    <row r="2">
      <c r="A2" s="2" t="inlineStr">
        <is>
          <t>DEU</t>
        </is>
      </c>
      <c r="B2" s="2" t="n">
        <v>2022</v>
      </c>
      <c r="C2" s="2" t="n">
        <v>83177813</v>
      </c>
      <c r="D2" s="2" t="n">
        <v>50506.5179638543</v>
      </c>
      <c r="E2" s="2" t="inlineStr">
        <is>
          <t>persons</t>
        </is>
      </c>
      <c r="F2" s="2" t="inlineStr">
        <is>
          <t>current US$ per person</t>
        </is>
      </c>
      <c r="G2" s="2" t="inlineStr">
        <is>
          <t>World Bank SP.POP.TOTL archive; 2026-07-13 revision</t>
        </is>
      </c>
      <c r="H2" s="2" t="inlineStr">
        <is>
          <t>World Bank NY.GDP.PCAP.CD archive; 2026-07-13 revision</t>
        </is>
      </c>
    </row>
    <row r="3">
      <c r="A3" s="2" t="inlineStr">
        <is>
          <t>DEU</t>
        </is>
      </c>
      <c r="B3" s="2" t="n">
        <v>2023</v>
      </c>
      <c r="C3" s="2" t="n">
        <v>83287273</v>
      </c>
      <c r="D3" s="2" t="n">
        <v>54776.7668235491</v>
      </c>
      <c r="E3" s="2" t="inlineStr">
        <is>
          <t>persons</t>
        </is>
      </c>
      <c r="F3" s="2" t="inlineStr">
        <is>
          <t>current US$ per person</t>
        </is>
      </c>
      <c r="G3" s="2" t="inlineStr">
        <is>
          <t>World Bank SP.POP.TOTL archive; 2026-07-13 revision</t>
        </is>
      </c>
      <c r="H3" s="2" t="inlineStr">
        <is>
          <t>World Bank NY.GDP.PCAP.CD archive; 2026-07-13 revision</t>
        </is>
      </c>
    </row>
    <row r="4">
      <c r="A4" s="2" t="inlineStr">
        <is>
          <t>DEU</t>
        </is>
      </c>
      <c r="B4" s="2" t="n">
        <v>2024</v>
      </c>
      <c r="C4" s="2" t="n">
        <v>83516593</v>
      </c>
      <c r="D4" s="2" t="n">
        <v>56103.7323182554</v>
      </c>
      <c r="E4" s="2" t="inlineStr">
        <is>
          <t>persons</t>
        </is>
      </c>
      <c r="F4" s="2" t="inlineStr">
        <is>
          <t>current US$ per person</t>
        </is>
      </c>
      <c r="G4" s="2" t="inlineStr">
        <is>
          <t>World Bank SP.POP.TOTL archive; 2026-07-13 revision</t>
        </is>
      </c>
      <c r="H4" s="2" t="inlineStr">
        <is>
          <t>World Bank NY.GDP.PCAP.CD archive; 2026-07-13 revision</t>
        </is>
      </c>
    </row>
    <row r="5">
      <c r="A5" s="2" t="inlineStr">
        <is>
          <t>FRA</t>
        </is>
      </c>
      <c r="B5" s="2" t="n">
        <v>2022</v>
      </c>
      <c r="C5" s="2" t="n">
        <v>68184457</v>
      </c>
      <c r="D5" s="2" t="n">
        <v>40988.6396406579</v>
      </c>
      <c r="E5" s="2" t="inlineStr">
        <is>
          <t>persons</t>
        </is>
      </c>
      <c r="F5" s="2" t="inlineStr">
        <is>
          <t>current US$ per person</t>
        </is>
      </c>
      <c r="G5" s="2" t="inlineStr">
        <is>
          <t>World Bank SP.POP.TOTL archive; 2026-07-13 revision</t>
        </is>
      </c>
      <c r="H5" s="2" t="inlineStr">
        <is>
          <t>World Bank NY.GDP.PCAP.CD archive; 2026-07-13 revision</t>
        </is>
      </c>
    </row>
    <row r="6">
      <c r="A6" s="2" t="inlineStr">
        <is>
          <t>FRA</t>
        </is>
      </c>
      <c r="B6" s="2" t="n">
        <v>2023</v>
      </c>
      <c r="C6" s="2" t="n">
        <v>68372286</v>
      </c>
      <c r="D6" s="2" t="n">
        <v>44700.1384177544</v>
      </c>
      <c r="E6" s="2" t="inlineStr">
        <is>
          <t>persons</t>
        </is>
      </c>
      <c r="F6" s="2" t="inlineStr">
        <is>
          <t>current US$ per person</t>
        </is>
      </c>
      <c r="G6" s="2" t="inlineStr">
        <is>
          <t>World Bank SP.POP.TOTL archive; 2026-07-13 revision</t>
        </is>
      </c>
      <c r="H6" s="2" t="inlineStr">
        <is>
          <t>World Bank NY.GDP.PCAP.CD archive; 2026-07-13 revision</t>
        </is>
      </c>
    </row>
    <row r="7">
      <c r="A7" s="2" t="inlineStr">
        <is>
          <t>FRA</t>
        </is>
      </c>
      <c r="B7" s="2" t="n">
        <v>2024</v>
      </c>
      <c r="C7" s="2" t="n">
        <v>68551653</v>
      </c>
      <c r="D7" s="2" t="n">
        <v>46103.0840855884</v>
      </c>
      <c r="E7" s="2" t="inlineStr">
        <is>
          <t>persons</t>
        </is>
      </c>
      <c r="F7" s="2" t="inlineStr">
        <is>
          <t>current US$ per person</t>
        </is>
      </c>
      <c r="G7" s="2" t="inlineStr">
        <is>
          <t>World Bank SP.POP.TOTL archive; 2026-07-13 revision</t>
        </is>
      </c>
      <c r="H7" s="2" t="inlineStr">
        <is>
          <t>World Bank NY.GDP.PCAP.CD archive; 2026-07-13 revision</t>
        </is>
      </c>
    </row>
    <row r="8">
      <c r="A8" s="2" t="inlineStr">
        <is>
          <t>NLD</t>
        </is>
      </c>
      <c r="B8" s="2" t="n">
        <v>2022</v>
      </c>
      <c r="C8" s="2" t="n">
        <v>17700982</v>
      </c>
      <c r="D8" s="2" t="n">
        <v>59123.318556487</v>
      </c>
      <c r="E8" s="2" t="inlineStr">
        <is>
          <t>persons</t>
        </is>
      </c>
      <c r="F8" s="2" t="inlineStr">
        <is>
          <t>current US$ per person</t>
        </is>
      </c>
      <c r="G8" s="2" t="inlineStr">
        <is>
          <t>World Bank SP.POP.TOTL archive; 2026-07-13 revision</t>
        </is>
      </c>
      <c r="H8" s="2" t="inlineStr">
        <is>
          <t>World Bank NY.GDP.PCAP.CD archive; 2026-07-13 revision</t>
        </is>
      </c>
    </row>
    <row r="9">
      <c r="A9" s="2" t="inlineStr">
        <is>
          <t>NLD</t>
        </is>
      </c>
      <c r="B9" s="2" t="n">
        <v>2023</v>
      </c>
      <c r="C9" s="2" t="n">
        <v>17877117</v>
      </c>
      <c r="D9" s="2" t="n">
        <v>63515.6030780019</v>
      </c>
      <c r="E9" s="2" t="inlineStr">
        <is>
          <t>persons</t>
        </is>
      </c>
      <c r="F9" s="2" t="inlineStr">
        <is>
          <t>current US$ per person</t>
        </is>
      </c>
      <c r="G9" s="2" t="inlineStr">
        <is>
          <t>World Bank SP.POP.TOTL archive; 2026-07-13 revision</t>
        </is>
      </c>
      <c r="H9" s="2" t="inlineStr">
        <is>
          <t>World Bank NY.GDP.PCAP.CD archive; 2026-07-13 revision</t>
        </is>
      </c>
    </row>
    <row r="10">
      <c r="A10" s="2" t="inlineStr">
        <is>
          <t>NLD</t>
        </is>
      </c>
      <c r="B10" s="2" t="n">
        <v>2024</v>
      </c>
      <c r="C10" s="2" t="n">
        <v>17993485</v>
      </c>
      <c r="D10" s="2" t="n">
        <v>67465.3208126875</v>
      </c>
      <c r="E10" s="2" t="inlineStr">
        <is>
          <t>persons</t>
        </is>
      </c>
      <c r="F10" s="2" t="inlineStr">
        <is>
          <t>current US$ per person</t>
        </is>
      </c>
      <c r="G10" s="2" t="inlineStr">
        <is>
          <t>World Bank SP.POP.TOTL archive; 2026-07-13 revision</t>
        </is>
      </c>
      <c r="H10" s="2" t="inlineStr">
        <is>
          <t>World Bank NY.GDP.PCAP.CD archive; 2026-07-13 revision</t>
        </is>
      </c>
    </row>
    <row r="11">
      <c r="A11" s="2" t="inlineStr">
        <is>
          <t>POL</t>
        </is>
      </c>
      <c r="B11" s="2" t="n">
        <v>2022</v>
      </c>
      <c r="C11" s="2" t="n">
        <v>36821749</v>
      </c>
      <c r="D11" s="2" t="n">
        <v>18891.2121169279</v>
      </c>
      <c r="E11" s="2" t="inlineStr">
        <is>
          <t>persons</t>
        </is>
      </c>
      <c r="F11" s="2" t="inlineStr">
        <is>
          <t>current US$ per person</t>
        </is>
      </c>
      <c r="G11" s="2" t="inlineStr">
        <is>
          <t>World Bank SP.POP.TOTL archive; 2026-07-13 revision</t>
        </is>
      </c>
      <c r="H11" s="2" t="inlineStr">
        <is>
          <t>World Bank NY.GDP.PCAP.CD archive; 2026-07-13 revision</t>
        </is>
      </c>
    </row>
    <row r="12">
      <c r="A12" s="2" t="inlineStr">
        <is>
          <t>POL</t>
        </is>
      </c>
      <c r="B12" s="2" t="n">
        <v>2023</v>
      </c>
      <c r="C12" s="2" t="n">
        <v>36687353</v>
      </c>
      <c r="D12" s="2" t="n">
        <v>22145.2660647429</v>
      </c>
      <c r="E12" s="2" t="inlineStr">
        <is>
          <t>persons</t>
        </is>
      </c>
      <c r="F12" s="2" t="inlineStr">
        <is>
          <t>current US$ per person</t>
        </is>
      </c>
      <c r="G12" s="2" t="inlineStr">
        <is>
          <t>World Bank SP.POP.TOTL archive; 2026-07-13 revision</t>
        </is>
      </c>
      <c r="H12" s="2" t="inlineStr">
        <is>
          <t>World Bank NY.GDP.PCAP.CD archive; 2026-07-13 revision</t>
        </is>
      </c>
    </row>
    <row r="13">
      <c r="A13" s="2" t="inlineStr">
        <is>
          <t>POL</t>
        </is>
      </c>
      <c r="B13" s="2" t="n">
        <v>2024</v>
      </c>
      <c r="C13" s="2" t="n">
        <v>36559233</v>
      </c>
      <c r="D13" s="2" t="n">
        <v>25103.565661423</v>
      </c>
      <c r="E13" s="2" t="inlineStr">
        <is>
          <t>persons</t>
        </is>
      </c>
      <c r="F13" s="2" t="inlineStr">
        <is>
          <t>current US$ per person</t>
        </is>
      </c>
      <c r="G13" s="2" t="inlineStr">
        <is>
          <t>World Bank SP.POP.TOTL archive; 2026-07-13 revision</t>
        </is>
      </c>
      <c r="H13" s="2" t="inlineStr">
        <is>
          <t>World Bank NY.GDP.PCAP.CD archive; 2026-07-13 revision</t>
        </is>
      </c>
    </row>
    <row r="14">
      <c r="A14" s="2" t="inlineStr">
        <is>
          <t>CZE</t>
        </is>
      </c>
      <c r="B14" s="2" t="n">
        <v>2022</v>
      </c>
      <c r="C14" s="2" t="n">
        <v>10672118</v>
      </c>
      <c r="D14" s="2" t="n">
        <v>28282.2236715857</v>
      </c>
      <c r="E14" s="2" t="inlineStr">
        <is>
          <t>persons</t>
        </is>
      </c>
      <c r="F14" s="2" t="inlineStr">
        <is>
          <t>current US$ per person</t>
        </is>
      </c>
      <c r="G14" s="2" t="inlineStr">
        <is>
          <t>World Bank SP.POP.TOTL archive; 2026-07-13 revision</t>
        </is>
      </c>
      <c r="H14" s="2" t="inlineStr">
        <is>
          <t>World Bank NY.GDP.PCAP.CD archive; 2026-07-13 revision</t>
        </is>
      </c>
    </row>
    <row r="15">
      <c r="A15" s="2" t="inlineStr">
        <is>
          <t>CZE</t>
        </is>
      </c>
      <c r="B15" s="2" t="n">
        <v>2023</v>
      </c>
      <c r="C15" s="2" t="n">
        <v>10864042</v>
      </c>
      <c r="D15" s="2" t="n">
        <v>31761.5944102491</v>
      </c>
      <c r="E15" s="2" t="inlineStr">
        <is>
          <t>persons</t>
        </is>
      </c>
      <c r="F15" s="2" t="inlineStr">
        <is>
          <t>current US$ per person</t>
        </is>
      </c>
      <c r="G15" s="2" t="inlineStr">
        <is>
          <t>World Bank SP.POP.TOTL archive; 2026-07-13 revision</t>
        </is>
      </c>
      <c r="H15" s="2" t="inlineStr">
        <is>
          <t>World Bank NY.GDP.PCAP.CD archive; 2026-07-13 revision</t>
        </is>
      </c>
    </row>
    <row r="16">
      <c r="A16" s="2" t="inlineStr">
        <is>
          <t>CZE</t>
        </is>
      </c>
      <c r="B16" s="2" t="n">
        <v>2024</v>
      </c>
      <c r="C16" s="2" t="n">
        <v>10905028</v>
      </c>
      <c r="D16" s="2" t="n">
        <v>31827.7552539413</v>
      </c>
      <c r="E16" s="2" t="inlineStr">
        <is>
          <t>persons</t>
        </is>
      </c>
      <c r="F16" s="2" t="inlineStr">
        <is>
          <t>current US$ per person</t>
        </is>
      </c>
      <c r="G16" s="2" t="inlineStr">
        <is>
          <t>World Bank SP.POP.TOTL archive; 2026-07-13 revision</t>
        </is>
      </c>
      <c r="H16" s="2" t="inlineStr">
        <is>
          <t>World Bank NY.GDP.PCAP.CD archive; 2026-07-13 revision</t>
        </is>
      </c>
    </row>
    <row r="17">
      <c r="A17" s="2" t="inlineStr">
        <is>
          <t>ESP</t>
        </is>
      </c>
      <c r="B17" s="2" t="n">
        <v>2022</v>
      </c>
      <c r="C17" s="2" t="n">
        <v>47786102</v>
      </c>
      <c r="D17" s="2" t="n">
        <v>30319.4987196616</v>
      </c>
      <c r="E17" s="2" t="inlineStr">
        <is>
          <t>persons</t>
        </is>
      </c>
      <c r="F17" s="2" t="inlineStr">
        <is>
          <t>current US$ per person</t>
        </is>
      </c>
      <c r="G17" s="2" t="inlineStr">
        <is>
          <t>World Bank SP.POP.TOTL archive; 2026-07-13 revision</t>
        </is>
      </c>
      <c r="H17" s="2" t="inlineStr">
        <is>
          <t>World Bank NY.GDP.PCAP.CD archive; 2026-07-13 revision</t>
        </is>
      </c>
    </row>
    <row r="18">
      <c r="A18" s="2" t="inlineStr">
        <is>
          <t>ESP</t>
        </is>
      </c>
      <c r="B18" s="2" t="n">
        <v>2023</v>
      </c>
      <c r="C18" s="2" t="n">
        <v>48352528</v>
      </c>
      <c r="D18" s="2" t="n">
        <v>33493.2225409111</v>
      </c>
      <c r="E18" s="2" t="inlineStr">
        <is>
          <t>persons</t>
        </is>
      </c>
      <c r="F18" s="2" t="inlineStr">
        <is>
          <t>current US$ per person</t>
        </is>
      </c>
      <c r="G18" s="2" t="inlineStr">
        <is>
          <t>World Bank SP.POP.TOTL archive; 2026-07-13 revision</t>
        </is>
      </c>
      <c r="H18" s="2" t="inlineStr">
        <is>
          <t>World Bank NY.GDP.PCAP.CD archive; 2026-07-13 revision</t>
        </is>
      </c>
    </row>
    <row r="19">
      <c r="A19" s="2" t="inlineStr">
        <is>
          <t>ESP</t>
        </is>
      </c>
      <c r="B19" s="2" t="n">
        <v>2024</v>
      </c>
      <c r="C19" s="2" t="n">
        <v>48848840</v>
      </c>
      <c r="D19" s="2" t="n">
        <v>35326.7683069278</v>
      </c>
      <c r="E19" s="2" t="inlineStr">
        <is>
          <t>persons</t>
        </is>
      </c>
      <c r="F19" s="2" t="inlineStr">
        <is>
          <t>current US$ per person</t>
        </is>
      </c>
      <c r="G19" s="2" t="inlineStr">
        <is>
          <t>World Bank SP.POP.TOTL archive; 2026-07-13 revision</t>
        </is>
      </c>
      <c r="H19" s="2" t="inlineStr">
        <is>
          <t>World Bank NY.GDP.PCAP.CD archive; 2026-07-13 revision</t>
        </is>
      </c>
    </row>
  </sheetData>
  <autoFilter ref="A1:H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</cols>
  <sheetData>
    <row r="1" ht="29" customHeight="1">
      <c r="A1" s="1" t="inlineStr">
        <is>
          <t>currency</t>
        </is>
      </c>
      <c r="B1" s="1" t="inlineStr">
        <is>
          <t>month</t>
        </is>
      </c>
      <c r="C1" s="1" t="inlineStr">
        <is>
          <t>local_per_eur</t>
        </is>
      </c>
    </row>
    <row r="2">
      <c r="A2" s="2" t="inlineStr">
        <is>
          <t>PLN</t>
        </is>
      </c>
      <c r="B2" s="2" t="inlineStr">
        <is>
          <t>2025-01</t>
        </is>
      </c>
      <c r="C2" s="3" t="n">
        <v>4.24665455</v>
      </c>
    </row>
    <row r="3">
      <c r="A3" s="2" t="inlineStr">
        <is>
          <t>PLN</t>
        </is>
      </c>
      <c r="B3" s="2" t="inlineStr">
        <is>
          <t>2025-02</t>
        </is>
      </c>
      <c r="C3" s="3" t="n">
        <v>4.172225</v>
      </c>
    </row>
    <row r="4">
      <c r="A4" s="2" t="inlineStr">
        <is>
          <t>PLN</t>
        </is>
      </c>
      <c r="B4" s="2" t="inlineStr">
        <is>
          <t>2025-03</t>
        </is>
      </c>
      <c r="C4" s="3" t="n">
        <v>4.18200952</v>
      </c>
    </row>
    <row r="5">
      <c r="A5" s="2" t="inlineStr">
        <is>
          <t>PLN</t>
        </is>
      </c>
      <c r="B5" s="2" t="inlineStr">
        <is>
          <t>2025-04</t>
        </is>
      </c>
      <c r="C5" s="3" t="n">
        <v>4.26522</v>
      </c>
    </row>
    <row r="6">
      <c r="A6" s="2" t="inlineStr">
        <is>
          <t>PLN</t>
        </is>
      </c>
      <c r="B6" s="2" t="inlineStr">
        <is>
          <t>2025-05</t>
        </is>
      </c>
      <c r="C6" s="3" t="n">
        <v>4.2538</v>
      </c>
    </row>
    <row r="7">
      <c r="A7" s="2" t="inlineStr">
        <is>
          <t>PLN</t>
        </is>
      </c>
      <c r="B7" s="2" t="inlineStr">
        <is>
          <t>2025-06</t>
        </is>
      </c>
      <c r="C7" s="3" t="n">
        <v>4.26577143</v>
      </c>
    </row>
    <row r="8">
      <c r="A8" s="2" t="inlineStr">
        <is>
          <t>PLN</t>
        </is>
      </c>
      <c r="B8" s="2" t="inlineStr">
        <is>
          <t>2025-07</t>
        </is>
      </c>
      <c r="C8" s="3" t="n">
        <v>4.25414783</v>
      </c>
    </row>
    <row r="9">
      <c r="A9" s="2" t="inlineStr">
        <is>
          <t>PLN</t>
        </is>
      </c>
      <c r="B9" s="2" t="inlineStr">
        <is>
          <t>2025-08</t>
        </is>
      </c>
      <c r="C9" s="3" t="n">
        <v>4.26130476</v>
      </c>
    </row>
    <row r="10">
      <c r="A10" s="2" t="inlineStr">
        <is>
          <t>PLN</t>
        </is>
      </c>
      <c r="B10" s="2" t="inlineStr">
        <is>
          <t>2025-09</t>
        </is>
      </c>
      <c r="C10" s="3" t="n">
        <v>4.25888636</v>
      </c>
    </row>
    <row r="11">
      <c r="A11" s="2" t="inlineStr">
        <is>
          <t>PLN</t>
        </is>
      </c>
      <c r="B11" s="2" t="inlineStr">
        <is>
          <t>2025-10</t>
        </is>
      </c>
      <c r="C11" s="3" t="n">
        <v>4.2487913</v>
      </c>
    </row>
    <row r="12">
      <c r="A12" s="2" t="inlineStr">
        <is>
          <t>PLN</t>
        </is>
      </c>
      <c r="B12" s="2" t="inlineStr">
        <is>
          <t>2025-11</t>
        </is>
      </c>
      <c r="C12" s="3" t="n">
        <v>4.237635</v>
      </c>
    </row>
    <row r="13">
      <c r="A13" s="2" t="inlineStr">
        <is>
          <t>PLN</t>
        </is>
      </c>
      <c r="B13" s="2" t="inlineStr">
        <is>
          <t>2025-12</t>
        </is>
      </c>
      <c r="C13" s="3" t="n">
        <v>4.22385714</v>
      </c>
    </row>
    <row r="14">
      <c r="A14" s="2" t="inlineStr">
        <is>
          <t>CZK</t>
        </is>
      </c>
      <c r="B14" s="2" t="inlineStr">
        <is>
          <t>2025-01</t>
        </is>
      </c>
      <c r="C14" s="3" t="n">
        <v>25.16331818</v>
      </c>
    </row>
    <row r="15">
      <c r="A15" s="2" t="inlineStr">
        <is>
          <t>CZK</t>
        </is>
      </c>
      <c r="B15" s="2" t="inlineStr">
        <is>
          <t>2025-02</t>
        </is>
      </c>
      <c r="C15" s="3" t="n">
        <v>25.07665</v>
      </c>
    </row>
    <row r="16">
      <c r="A16" s="2" t="inlineStr">
        <is>
          <t>CZK</t>
        </is>
      </c>
      <c r="B16" s="2" t="inlineStr">
        <is>
          <t>2025-03</t>
        </is>
      </c>
      <c r="C16" s="3" t="n">
        <v>25.0012381</v>
      </c>
    </row>
    <row r="17">
      <c r="A17" s="2" t="inlineStr">
        <is>
          <t>CZK</t>
        </is>
      </c>
      <c r="B17" s="2" t="inlineStr">
        <is>
          <t>2025-04</t>
        </is>
      </c>
      <c r="C17" s="3" t="n">
        <v>25.03895</v>
      </c>
    </row>
    <row r="18">
      <c r="A18" s="2" t="inlineStr">
        <is>
          <t>CZK</t>
        </is>
      </c>
      <c r="B18" s="2" t="inlineStr">
        <is>
          <t>2025-05</t>
        </is>
      </c>
      <c r="C18" s="3" t="n">
        <v>24.92285714</v>
      </c>
    </row>
    <row r="19">
      <c r="A19" s="2" t="inlineStr">
        <is>
          <t>CZK</t>
        </is>
      </c>
      <c r="B19" s="2" t="inlineStr">
        <is>
          <t>2025-06</t>
        </is>
      </c>
      <c r="C19" s="3" t="n">
        <v>24.80428571</v>
      </c>
    </row>
    <row r="20">
      <c r="A20" s="2" t="inlineStr">
        <is>
          <t>CZK</t>
        </is>
      </c>
      <c r="B20" s="2" t="inlineStr">
        <is>
          <t>2025-07</t>
        </is>
      </c>
      <c r="C20" s="3" t="n">
        <v>24.6246087</v>
      </c>
    </row>
    <row r="21">
      <c r="A21" s="2" t="inlineStr">
        <is>
          <t>CZK</t>
        </is>
      </c>
      <c r="B21" s="2" t="inlineStr">
        <is>
          <t>2025-08</t>
        </is>
      </c>
      <c r="C21" s="3" t="n">
        <v>24.51661905</v>
      </c>
    </row>
    <row r="22">
      <c r="A22" s="2" t="inlineStr">
        <is>
          <t>CZK</t>
        </is>
      </c>
      <c r="B22" s="2" t="inlineStr">
        <is>
          <t>2025-09</t>
        </is>
      </c>
      <c r="C22" s="3" t="n">
        <v>24.34677273</v>
      </c>
    </row>
    <row r="23">
      <c r="A23" s="2" t="inlineStr">
        <is>
          <t>CZK</t>
        </is>
      </c>
      <c r="B23" s="2" t="inlineStr">
        <is>
          <t>2025-10</t>
        </is>
      </c>
      <c r="C23" s="3" t="n">
        <v>24.3153913</v>
      </c>
    </row>
    <row r="24">
      <c r="A24" s="2" t="inlineStr">
        <is>
          <t>CZK</t>
        </is>
      </c>
      <c r="B24" s="2" t="inlineStr">
        <is>
          <t>2025-11</t>
        </is>
      </c>
      <c r="C24" s="3" t="n">
        <v>24.23405</v>
      </c>
    </row>
    <row r="25">
      <c r="A25" s="2" t="inlineStr">
        <is>
          <t>CZK</t>
        </is>
      </c>
      <c r="B25" s="2" t="inlineStr">
        <is>
          <t>2025-12</t>
        </is>
      </c>
      <c r="C25" s="3" t="n">
        <v>24.25928571</v>
      </c>
    </row>
  </sheetData>
  <autoFilter ref="A1:C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36" customWidth="1" min="3" max="3"/>
    <col width="22" customWidth="1" min="4" max="4"/>
    <col width="12" customWidth="1" min="5" max="5"/>
    <col width="19" customWidth="1" min="6" max="6"/>
  </cols>
  <sheetData>
    <row r="1" ht="29" customHeight="1">
      <c r="A1" s="1" t="inlineStr">
        <is>
          <t>country</t>
        </is>
      </c>
      <c r="B1" s="1" t="inlineStr">
        <is>
          <t>scenario</t>
        </is>
      </c>
      <c r="C1" s="1" t="inlineStr">
        <is>
          <t>incremental_contribution_eur</t>
        </is>
      </c>
      <c r="D1" s="1" t="inlineStr">
        <is>
          <t>capex_eur</t>
        </is>
      </c>
      <c r="E1" s="1" t="inlineStr">
        <is>
          <t>fte</t>
        </is>
      </c>
      <c r="F1" s="1" t="inlineStr">
        <is>
          <t>payback_years</t>
        </is>
      </c>
      <c r="G1" s="1" t="n"/>
      <c r="H1" s="1" t="inlineStr">
        <is>
          <t>Feasible choices</t>
        </is>
      </c>
    </row>
    <row r="2">
      <c r="A2" s="2" t="inlineStr">
        <is>
          <t>DEFER</t>
        </is>
      </c>
      <c r="B2" s="2" t="inlineStr">
        <is>
          <t>low</t>
        </is>
      </c>
      <c r="C2" s="3" t="n">
        <v>0</v>
      </c>
      <c r="D2" s="3" t="n">
        <v>0</v>
      </c>
      <c r="E2" s="2" t="n">
        <v>0</v>
      </c>
      <c r="F2" s="2" t="n"/>
      <c r="G2" s="2" t="n"/>
      <c r="H2" s="2" t="inlineStr">
        <is>
          <t>18 including defer; each has four scenarios</t>
        </is>
      </c>
    </row>
    <row r="3">
      <c r="A3" s="2" t="inlineStr">
        <is>
          <t>DEFER</t>
        </is>
      </c>
      <c r="B3" s="2" t="inlineStr">
        <is>
          <t>base</t>
        </is>
      </c>
      <c r="C3" s="3" t="n">
        <v>0</v>
      </c>
      <c r="D3" s="3" t="n">
        <v>0</v>
      </c>
      <c r="E3" s="2" t="n">
        <v>0</v>
      </c>
      <c r="F3" s="2" t="n"/>
      <c r="G3" s="2" t="n"/>
      <c r="H3" s="2" t="n"/>
    </row>
    <row r="4">
      <c r="A4" s="2" t="inlineStr">
        <is>
          <t>DEFER</t>
        </is>
      </c>
      <c r="B4" s="2" t="inlineStr">
        <is>
          <t>high</t>
        </is>
      </c>
      <c r="C4" s="3" t="n">
        <v>0</v>
      </c>
      <c r="D4" s="3" t="n">
        <v>0</v>
      </c>
      <c r="E4" s="2" t="n">
        <v>0</v>
      </c>
      <c r="F4" s="2" t="n"/>
      <c r="G4" s="2" t="n"/>
      <c r="H4" s="2" t="n"/>
    </row>
    <row r="5">
      <c r="A5" s="2" t="inlineStr">
        <is>
          <t>DEFER</t>
        </is>
      </c>
      <c r="B5" s="2" t="inlineStr">
        <is>
          <t>stress</t>
        </is>
      </c>
      <c r="C5" s="3" t="n">
        <v>0</v>
      </c>
      <c r="D5" s="3" t="n">
        <v>0</v>
      </c>
      <c r="E5" s="2" t="n">
        <v>0</v>
      </c>
      <c r="F5" s="2" t="n"/>
      <c r="G5" s="2" t="n"/>
      <c r="H5" s="2" t="n"/>
    </row>
    <row r="6">
      <c r="A6" s="2" t="inlineStr">
        <is>
          <t>DEU</t>
        </is>
      </c>
      <c r="B6" s="2" t="inlineStr">
        <is>
          <t>low</t>
        </is>
      </c>
      <c r="C6" s="3" t="n">
        <v>-34005.86</v>
      </c>
      <c r="D6" s="3" t="n">
        <v>280000</v>
      </c>
      <c r="E6" s="2" t="n">
        <v>5</v>
      </c>
      <c r="F6" s="2" t="n"/>
      <c r="G6" s="2" t="n"/>
      <c r="H6" s="2" t="n"/>
    </row>
    <row r="7">
      <c r="A7" s="2" t="inlineStr">
        <is>
          <t>DEU</t>
        </is>
      </c>
      <c r="B7" s="2" t="inlineStr">
        <is>
          <t>base</t>
        </is>
      </c>
      <c r="C7" s="3" t="n">
        <v>10088.64</v>
      </c>
      <c r="D7" s="3" t="n">
        <v>280000</v>
      </c>
      <c r="E7" s="2" t="n">
        <v>5</v>
      </c>
      <c r="F7" s="2" t="n">
        <v>27.754</v>
      </c>
      <c r="G7" s="2" t="n"/>
      <c r="H7" s="2" t="n"/>
    </row>
    <row r="8">
      <c r="A8" s="2" t="inlineStr">
        <is>
          <t>DEU</t>
        </is>
      </c>
      <c r="B8" s="2" t="inlineStr">
        <is>
          <t>high</t>
        </is>
      </c>
      <c r="C8" s="3" t="n">
        <v>54183.14</v>
      </c>
      <c r="D8" s="3" t="n">
        <v>280000</v>
      </c>
      <c r="E8" s="2" t="n">
        <v>5</v>
      </c>
      <c r="F8" s="2" t="n">
        <v>5.1677</v>
      </c>
      <c r="G8" s="2" t="n"/>
      <c r="H8" s="2" t="n"/>
    </row>
    <row r="9">
      <c r="A9" s="2" t="inlineStr">
        <is>
          <t>DEU</t>
        </is>
      </c>
      <c r="B9" s="2" t="inlineStr">
        <is>
          <t>stress</t>
        </is>
      </c>
      <c r="C9" s="3" t="n">
        <v>-13583.04</v>
      </c>
      <c r="D9" s="3" t="n">
        <v>280000</v>
      </c>
      <c r="E9" s="2" t="n">
        <v>5</v>
      </c>
      <c r="F9" s="2" t="n"/>
      <c r="G9" s="2" t="n"/>
      <c r="H9" s="2" t="n"/>
    </row>
    <row r="10">
      <c r="A10" s="2" t="inlineStr">
        <is>
          <t>FRA</t>
        </is>
      </c>
      <c r="B10" s="2" t="inlineStr">
        <is>
          <t>low</t>
        </is>
      </c>
      <c r="C10" s="3" t="n">
        <v>-19475.69</v>
      </c>
      <c r="D10" s="3" t="n">
        <v>210000</v>
      </c>
      <c r="E10" s="2" t="n">
        <v>4</v>
      </c>
      <c r="F10" s="2" t="n"/>
      <c r="G10" s="2" t="n"/>
      <c r="H10" s="2" t="n"/>
    </row>
    <row r="11">
      <c r="A11" s="2" t="inlineStr">
        <is>
          <t>FRA</t>
        </is>
      </c>
      <c r="B11" s="2" t="inlineStr">
        <is>
          <t>base</t>
        </is>
      </c>
      <c r="C11" s="3" t="n">
        <v>27132.78</v>
      </c>
      <c r="D11" s="3" t="n">
        <v>210000</v>
      </c>
      <c r="E11" s="2" t="n">
        <v>4</v>
      </c>
      <c r="F11" s="2" t="n">
        <v>7.7397</v>
      </c>
      <c r="G11" s="2" t="n"/>
      <c r="H11" s="2" t="n"/>
    </row>
    <row r="12">
      <c r="A12" s="2" t="inlineStr">
        <is>
          <t>FRA</t>
        </is>
      </c>
      <c r="B12" s="2" t="inlineStr">
        <is>
          <t>high</t>
        </is>
      </c>
      <c r="C12" s="3" t="n">
        <v>73741.24000000001</v>
      </c>
      <c r="D12" s="3" t="n">
        <v>210000</v>
      </c>
      <c r="E12" s="2" t="n">
        <v>4</v>
      </c>
      <c r="F12" s="2" t="n">
        <v>2.8478</v>
      </c>
      <c r="G12" s="2" t="n"/>
      <c r="H12" s="2" t="n"/>
    </row>
    <row r="13">
      <c r="A13" s="2" t="inlineStr">
        <is>
          <t>FRA</t>
        </is>
      </c>
      <c r="B13" s="2" t="inlineStr">
        <is>
          <t>stress</t>
        </is>
      </c>
      <c r="C13" s="3" t="n">
        <v>3097.9</v>
      </c>
      <c r="D13" s="3" t="n">
        <v>210000</v>
      </c>
      <c r="E13" s="2" t="n">
        <v>4</v>
      </c>
      <c r="F13" s="2" t="n">
        <v>67.78789999999999</v>
      </c>
      <c r="G13" s="2" t="n"/>
      <c r="H13" s="2" t="n"/>
    </row>
    <row r="14">
      <c r="A14" s="2" t="inlineStr">
        <is>
          <t>NLD</t>
        </is>
      </c>
      <c r="B14" s="2" t="inlineStr">
        <is>
          <t>low</t>
        </is>
      </c>
      <c r="C14" s="3" t="n">
        <v>10831.94</v>
      </c>
      <c r="D14" s="3" t="n">
        <v>140000</v>
      </c>
      <c r="E14" s="2" t="n">
        <v>3</v>
      </c>
      <c r="F14" s="2" t="n">
        <v>12.9247</v>
      </c>
      <c r="G14" s="2" t="n"/>
      <c r="H14" s="2" t="n"/>
    </row>
    <row r="15">
      <c r="A15" s="2" t="inlineStr">
        <is>
          <t>NLD</t>
        </is>
      </c>
      <c r="B15" s="2" t="inlineStr">
        <is>
          <t>base</t>
        </is>
      </c>
      <c r="C15" s="3" t="n">
        <v>64215.06</v>
      </c>
      <c r="D15" s="3" t="n">
        <v>140000</v>
      </c>
      <c r="E15" s="2" t="n">
        <v>3</v>
      </c>
      <c r="F15" s="2" t="n">
        <v>2.1802</v>
      </c>
      <c r="G15" s="2" t="n"/>
      <c r="H15" s="2" t="n"/>
    </row>
    <row r="16">
      <c r="A16" s="2" t="inlineStr">
        <is>
          <t>NLD</t>
        </is>
      </c>
      <c r="B16" s="2" t="inlineStr">
        <is>
          <t>high</t>
        </is>
      </c>
      <c r="C16" s="3" t="n">
        <v>117598.17</v>
      </c>
      <c r="D16" s="3" t="n">
        <v>140000</v>
      </c>
      <c r="E16" s="2" t="n">
        <v>3</v>
      </c>
      <c r="F16" s="2" t="n">
        <v>1.1905</v>
      </c>
      <c r="G16" s="2" t="n"/>
      <c r="H16" s="2" t="n"/>
    </row>
    <row r="17">
      <c r="A17" s="2" t="inlineStr">
        <is>
          <t>NLD</t>
        </is>
      </c>
      <c r="B17" s="2" t="inlineStr">
        <is>
          <t>stress</t>
        </is>
      </c>
      <c r="C17" s="3" t="n">
        <v>37623.47</v>
      </c>
      <c r="D17" s="3" t="n">
        <v>140000</v>
      </c>
      <c r="E17" s="2" t="n">
        <v>3</v>
      </c>
      <c r="F17" s="2" t="n">
        <v>3.7211</v>
      </c>
      <c r="G17" s="2" t="n"/>
      <c r="H17" s="2" t="n"/>
    </row>
    <row r="18">
      <c r="A18" s="2" t="inlineStr">
        <is>
          <t>POL</t>
        </is>
      </c>
      <c r="B18" s="2" t="inlineStr">
        <is>
          <t>low</t>
        </is>
      </c>
      <c r="C18" s="3" t="n">
        <v>25399.71</v>
      </c>
      <c r="D18" s="3" t="n">
        <v>110000</v>
      </c>
      <c r="E18" s="2" t="n">
        <v>3</v>
      </c>
      <c r="F18" s="2" t="n">
        <v>4.3308</v>
      </c>
      <c r="G18" s="2" t="n"/>
      <c r="H18" s="2" t="n"/>
    </row>
    <row r="19">
      <c r="A19" s="2" t="inlineStr">
        <is>
          <t>POL</t>
        </is>
      </c>
      <c r="B19" s="2" t="inlineStr">
        <is>
          <t>base</t>
        </is>
      </c>
      <c r="C19" s="3" t="n">
        <v>83612.47</v>
      </c>
      <c r="D19" s="3" t="n">
        <v>110000</v>
      </c>
      <c r="E19" s="2" t="n">
        <v>3</v>
      </c>
      <c r="F19" s="2" t="n">
        <v>1.3156</v>
      </c>
      <c r="G19" s="2" t="n"/>
      <c r="H19" s="2" t="n"/>
    </row>
    <row r="20">
      <c r="A20" s="2" t="inlineStr">
        <is>
          <t>POL</t>
        </is>
      </c>
      <c r="B20" s="2" t="inlineStr">
        <is>
          <t>high</t>
        </is>
      </c>
      <c r="C20" s="3" t="n">
        <v>141825.23</v>
      </c>
      <c r="D20" s="3" t="n">
        <v>110000</v>
      </c>
      <c r="E20" s="2" t="n">
        <v>3</v>
      </c>
      <c r="F20" s="2" t="n">
        <v>0.7756</v>
      </c>
      <c r="G20" s="2" t="n"/>
      <c r="H20" s="2" t="n"/>
    </row>
    <row r="21">
      <c r="A21" s="2" t="inlineStr">
        <is>
          <t>POL</t>
        </is>
      </c>
      <c r="B21" s="2" t="inlineStr">
        <is>
          <t>stress</t>
        </is>
      </c>
      <c r="C21" s="3" t="n">
        <v>-40742.81</v>
      </c>
      <c r="D21" s="3" t="n">
        <v>110000</v>
      </c>
      <c r="E21" s="2" t="n">
        <v>3</v>
      </c>
      <c r="F21" s="2" t="n"/>
      <c r="G21" s="2" t="n"/>
      <c r="H21" s="2" t="n"/>
    </row>
    <row r="22">
      <c r="A22" s="2" t="inlineStr">
        <is>
          <t>CZE</t>
        </is>
      </c>
      <c r="B22" s="2" t="inlineStr">
        <is>
          <t>low</t>
        </is>
      </c>
      <c r="C22" s="3" t="n">
        <v>31456.76</v>
      </c>
      <c r="D22" s="3" t="n">
        <v>95000</v>
      </c>
      <c r="E22" s="2" t="n">
        <v>2</v>
      </c>
      <c r="F22" s="2" t="n">
        <v>3.02</v>
      </c>
      <c r="G22" s="2" t="n"/>
      <c r="H22" s="2" t="n"/>
    </row>
    <row r="23">
      <c r="A23" s="2" t="inlineStr">
        <is>
          <t>CZE</t>
        </is>
      </c>
      <c r="B23" s="2" t="inlineStr">
        <is>
          <t>base</t>
        </is>
      </c>
      <c r="C23" s="3" t="n">
        <v>95382.94</v>
      </c>
      <c r="D23" s="3" t="n">
        <v>95000</v>
      </c>
      <c r="E23" s="2" t="n">
        <v>2</v>
      </c>
      <c r="F23" s="2" t="n">
        <v>0.996</v>
      </c>
      <c r="G23" s="2" t="n"/>
      <c r="H23" s="2" t="n"/>
    </row>
    <row r="24">
      <c r="A24" s="2" t="inlineStr">
        <is>
          <t>CZE</t>
        </is>
      </c>
      <c r="B24" s="2" t="inlineStr">
        <is>
          <t>high</t>
        </is>
      </c>
      <c r="C24" s="3" t="n">
        <v>159309.12</v>
      </c>
      <c r="D24" s="3" t="n">
        <v>95000</v>
      </c>
      <c r="E24" s="2" t="n">
        <v>2</v>
      </c>
      <c r="F24" s="2" t="n">
        <v>0.5963000000000001</v>
      </c>
      <c r="G24" s="2" t="n"/>
      <c r="H24" s="2" t="n"/>
    </row>
    <row r="25">
      <c r="A25" s="2" t="inlineStr">
        <is>
          <t>CZE</t>
        </is>
      </c>
      <c r="B25" s="2" t="inlineStr">
        <is>
          <t>stress</t>
        </is>
      </c>
      <c r="C25" s="3" t="n">
        <v>-37826.95</v>
      </c>
      <c r="D25" s="3" t="n">
        <v>95000</v>
      </c>
      <c r="E25" s="2" t="n">
        <v>2</v>
      </c>
      <c r="F25" s="2" t="n"/>
      <c r="G25" s="2" t="n"/>
      <c r="H25" s="2" t="n"/>
    </row>
    <row r="26">
      <c r="A26" s="2" t="inlineStr">
        <is>
          <t>ESP</t>
        </is>
      </c>
      <c r="B26" s="2" t="inlineStr">
        <is>
          <t>low</t>
        </is>
      </c>
      <c r="C26" s="3" t="n">
        <v>33162.35</v>
      </c>
      <c r="D26" s="3" t="n">
        <v>130000</v>
      </c>
      <c r="E26" s="2" t="n">
        <v>3</v>
      </c>
      <c r="F26" s="2" t="n">
        <v>3.9201</v>
      </c>
      <c r="G26" s="2" t="n"/>
      <c r="H26" s="2" t="n"/>
    </row>
    <row r="27">
      <c r="A27" s="2" t="inlineStr">
        <is>
          <t>ESP</t>
        </is>
      </c>
      <c r="B27" s="2" t="inlineStr">
        <is>
          <t>base</t>
        </is>
      </c>
      <c r="C27" s="3" t="n">
        <v>102716.37</v>
      </c>
      <c r="D27" s="3" t="n">
        <v>130000</v>
      </c>
      <c r="E27" s="2" t="n">
        <v>3</v>
      </c>
      <c r="F27" s="2" t="n">
        <v>1.2656</v>
      </c>
      <c r="G27" s="2" t="n"/>
      <c r="H27" s="2" t="n"/>
    </row>
    <row r="28">
      <c r="A28" s="2" t="inlineStr">
        <is>
          <t>ESP</t>
        </is>
      </c>
      <c r="B28" s="2" t="inlineStr">
        <is>
          <t>high</t>
        </is>
      </c>
      <c r="C28" s="3" t="n">
        <v>172270.39</v>
      </c>
      <c r="D28" s="3" t="n">
        <v>130000</v>
      </c>
      <c r="E28" s="2" t="n">
        <v>3</v>
      </c>
      <c r="F28" s="2" t="n">
        <v>0.7546</v>
      </c>
      <c r="G28" s="2" t="n"/>
      <c r="H28" s="2" t="n"/>
    </row>
    <row r="29">
      <c r="A29" s="2" t="inlineStr">
        <is>
          <t>ESP</t>
        </is>
      </c>
      <c r="B29" s="2" t="inlineStr">
        <is>
          <t>stress</t>
        </is>
      </c>
      <c r="C29" s="3" t="n">
        <v>70006.66</v>
      </c>
      <c r="D29" s="3" t="n">
        <v>130000</v>
      </c>
      <c r="E29" s="2" t="n">
        <v>3</v>
      </c>
      <c r="F29" s="2" t="n">
        <v>1.857</v>
      </c>
      <c r="G29" s="2" t="n"/>
      <c r="H29" s="2" t="n"/>
    </row>
    <row r="30">
      <c r="A30" s="2" t="inlineStr">
        <is>
          <t>DEU+CZE</t>
        </is>
      </c>
      <c r="B30" s="2" t="inlineStr">
        <is>
          <t>low</t>
        </is>
      </c>
      <c r="C30" s="3" t="n">
        <v>-2549.11</v>
      </c>
      <c r="D30" s="3" t="n">
        <v>375000</v>
      </c>
      <c r="E30" s="2" t="n">
        <v>7</v>
      </c>
      <c r="F30" s="2" t="n"/>
      <c r="G30" s="2" t="n"/>
      <c r="H30" s="2" t="n"/>
    </row>
    <row r="31">
      <c r="A31" s="2" t="inlineStr">
        <is>
          <t>DEU+CZE</t>
        </is>
      </c>
      <c r="B31" s="2" t="inlineStr">
        <is>
          <t>base</t>
        </is>
      </c>
      <c r="C31" s="3" t="n">
        <v>105471.58</v>
      </c>
      <c r="D31" s="3" t="n">
        <v>375000</v>
      </c>
      <c r="E31" s="2" t="n">
        <v>7</v>
      </c>
      <c r="F31" s="2" t="n">
        <v>3.5555</v>
      </c>
      <c r="G31" s="2" t="n"/>
      <c r="H31" s="2" t="n"/>
    </row>
    <row r="32">
      <c r="A32" s="2" t="inlineStr">
        <is>
          <t>DEU+CZE</t>
        </is>
      </c>
      <c r="B32" s="2" t="inlineStr">
        <is>
          <t>high</t>
        </is>
      </c>
      <c r="C32" s="3" t="n">
        <v>213492.26</v>
      </c>
      <c r="D32" s="3" t="n">
        <v>375000</v>
      </c>
      <c r="E32" s="2" t="n">
        <v>7</v>
      </c>
      <c r="F32" s="2" t="n">
        <v>1.7565</v>
      </c>
      <c r="G32" s="2" t="n"/>
      <c r="H32" s="2" t="n"/>
    </row>
    <row r="33">
      <c r="A33" s="2" t="inlineStr">
        <is>
          <t>DEU+CZE</t>
        </is>
      </c>
      <c r="B33" s="2" t="inlineStr">
        <is>
          <t>stress</t>
        </is>
      </c>
      <c r="C33" s="3" t="n">
        <v>-51409.99</v>
      </c>
      <c r="D33" s="3" t="n">
        <v>375000</v>
      </c>
      <c r="E33" s="2" t="n">
        <v>7</v>
      </c>
      <c r="F33" s="2" t="n"/>
      <c r="G33" s="2" t="n"/>
      <c r="H33" s="2" t="n"/>
    </row>
    <row r="34">
      <c r="A34" s="2" t="inlineStr">
        <is>
          <t>FRA+NLD</t>
        </is>
      </c>
      <c r="B34" s="2" t="inlineStr">
        <is>
          <t>low</t>
        </is>
      </c>
      <c r="C34" s="3" t="n">
        <v>-8643.75</v>
      </c>
      <c r="D34" s="3" t="n">
        <v>350000</v>
      </c>
      <c r="E34" s="2" t="n">
        <v>7</v>
      </c>
      <c r="F34" s="2" t="n"/>
      <c r="G34" s="2" t="n"/>
      <c r="H34" s="2" t="n"/>
    </row>
    <row r="35">
      <c r="A35" s="2" t="inlineStr">
        <is>
          <t>FRA+NLD</t>
        </is>
      </c>
      <c r="B35" s="2" t="inlineStr">
        <is>
          <t>base</t>
        </is>
      </c>
      <c r="C35" s="3" t="n">
        <v>91347.83</v>
      </c>
      <c r="D35" s="3" t="n">
        <v>350000</v>
      </c>
      <c r="E35" s="2" t="n">
        <v>7</v>
      </c>
      <c r="F35" s="2" t="n">
        <v>3.8315</v>
      </c>
      <c r="G35" s="2" t="n"/>
      <c r="H35" s="2" t="n"/>
    </row>
    <row r="36">
      <c r="A36" s="2" t="inlineStr">
        <is>
          <t>FRA+NLD</t>
        </is>
      </c>
      <c r="B36" s="2" t="inlineStr">
        <is>
          <t>high</t>
        </is>
      </c>
      <c r="C36" s="3" t="n">
        <v>191339.41</v>
      </c>
      <c r="D36" s="3" t="n">
        <v>350000</v>
      </c>
      <c r="E36" s="2" t="n">
        <v>7</v>
      </c>
      <c r="F36" s="2" t="n">
        <v>1.8292</v>
      </c>
      <c r="G36" s="2" t="n"/>
      <c r="H36" s="2" t="n"/>
    </row>
    <row r="37">
      <c r="A37" s="2" t="inlineStr">
        <is>
          <t>FRA+NLD</t>
        </is>
      </c>
      <c r="B37" s="2" t="inlineStr">
        <is>
          <t>stress</t>
        </is>
      </c>
      <c r="C37" s="3" t="n">
        <v>40721.38</v>
      </c>
      <c r="D37" s="3" t="n">
        <v>350000</v>
      </c>
      <c r="E37" s="2" t="n">
        <v>7</v>
      </c>
      <c r="F37" s="2" t="n">
        <v>8.595000000000001</v>
      </c>
      <c r="G37" s="2" t="n"/>
      <c r="H37" s="2" t="n"/>
    </row>
    <row r="38">
      <c r="A38" s="2" t="inlineStr">
        <is>
          <t>FRA+POL</t>
        </is>
      </c>
      <c r="B38" s="2" t="inlineStr">
        <is>
          <t>low</t>
        </is>
      </c>
      <c r="C38" s="3" t="n">
        <v>5924.02</v>
      </c>
      <c r="D38" s="3" t="n">
        <v>320000</v>
      </c>
      <c r="E38" s="2" t="n">
        <v>7</v>
      </c>
      <c r="F38" s="2" t="n">
        <v>54.0174</v>
      </c>
      <c r="G38" s="2" t="n"/>
      <c r="H38" s="2" t="n"/>
    </row>
    <row r="39">
      <c r="A39" s="2" t="inlineStr">
        <is>
          <t>FRA+POL</t>
        </is>
      </c>
      <c r="B39" s="2" t="inlineStr">
        <is>
          <t>base</t>
        </is>
      </c>
      <c r="C39" s="3" t="n">
        <v>110745.25</v>
      </c>
      <c r="D39" s="3" t="n">
        <v>320000</v>
      </c>
      <c r="E39" s="2" t="n">
        <v>7</v>
      </c>
      <c r="F39" s="2" t="n">
        <v>2.8895</v>
      </c>
      <c r="G39" s="2" t="n"/>
      <c r="H39" s="2" t="n"/>
    </row>
    <row r="40">
      <c r="A40" s="2" t="inlineStr">
        <is>
          <t>FRA+POL</t>
        </is>
      </c>
      <c r="B40" s="2" t="inlineStr">
        <is>
          <t>high</t>
        </is>
      </c>
      <c r="C40" s="3" t="n">
        <v>215566.47</v>
      </c>
      <c r="D40" s="3" t="n">
        <v>320000</v>
      </c>
      <c r="E40" s="2" t="n">
        <v>7</v>
      </c>
      <c r="F40" s="2" t="n">
        <v>1.4845</v>
      </c>
      <c r="G40" s="2" t="n"/>
      <c r="H40" s="2" t="n"/>
    </row>
    <row r="41">
      <c r="A41" s="2" t="inlineStr">
        <is>
          <t>FRA+POL</t>
        </is>
      </c>
      <c r="B41" s="2" t="inlineStr">
        <is>
          <t>stress</t>
        </is>
      </c>
      <c r="C41" s="3" t="n">
        <v>-37644.9</v>
      </c>
      <c r="D41" s="3" t="n">
        <v>320000</v>
      </c>
      <c r="E41" s="2" t="n">
        <v>7</v>
      </c>
      <c r="F41" s="2" t="n"/>
      <c r="G41" s="2" t="n"/>
      <c r="H41" s="2" t="n"/>
    </row>
    <row r="42">
      <c r="A42" s="2" t="inlineStr">
        <is>
          <t>FRA+CZE</t>
        </is>
      </c>
      <c r="B42" s="2" t="inlineStr">
        <is>
          <t>low</t>
        </is>
      </c>
      <c r="C42" s="3" t="n">
        <v>11981.07</v>
      </c>
      <c r="D42" s="3" t="n">
        <v>305000</v>
      </c>
      <c r="E42" s="2" t="n">
        <v>6</v>
      </c>
      <c r="F42" s="2" t="n">
        <v>25.4568</v>
      </c>
      <c r="G42" s="2" t="n"/>
      <c r="H42" s="2" t="n"/>
    </row>
    <row r="43">
      <c r="A43" s="2" t="inlineStr">
        <is>
          <t>FRA+CZE</t>
        </is>
      </c>
      <c r="B43" s="2" t="inlineStr">
        <is>
          <t>base</t>
        </is>
      </c>
      <c r="C43" s="3" t="n">
        <v>122515.71</v>
      </c>
      <c r="D43" s="3" t="n">
        <v>305000</v>
      </c>
      <c r="E43" s="2" t="n">
        <v>6</v>
      </c>
      <c r="F43" s="2" t="n">
        <v>2.4895</v>
      </c>
      <c r="G43" s="2" t="n"/>
      <c r="H43" s="2" t="n"/>
    </row>
    <row r="44">
      <c r="A44" s="2" t="inlineStr">
        <is>
          <t>FRA+CZE</t>
        </is>
      </c>
      <c r="B44" s="2" t="inlineStr">
        <is>
          <t>high</t>
        </is>
      </c>
      <c r="C44" s="3" t="n">
        <v>233050.36</v>
      </c>
      <c r="D44" s="3" t="n">
        <v>305000</v>
      </c>
      <c r="E44" s="2" t="n">
        <v>6</v>
      </c>
      <c r="F44" s="2" t="n">
        <v>1.3087</v>
      </c>
      <c r="G44" s="2" t="n"/>
      <c r="H44" s="2" t="n"/>
    </row>
    <row r="45">
      <c r="A45" s="2" t="inlineStr">
        <is>
          <t>FRA+CZE</t>
        </is>
      </c>
      <c r="B45" s="2" t="inlineStr">
        <is>
          <t>stress</t>
        </is>
      </c>
      <c r="C45" s="3" t="n">
        <v>-34729.05</v>
      </c>
      <c r="D45" s="3" t="n">
        <v>305000</v>
      </c>
      <c r="E45" s="2" t="n">
        <v>6</v>
      </c>
      <c r="F45" s="2" t="n"/>
      <c r="G45" s="2" t="n"/>
      <c r="H45" s="2" t="n"/>
    </row>
    <row r="46">
      <c r="A46" s="2" t="inlineStr">
        <is>
          <t>FRA+ESP</t>
        </is>
      </c>
      <c r="B46" s="2" t="inlineStr">
        <is>
          <t>low</t>
        </is>
      </c>
      <c r="C46" s="3" t="n">
        <v>13686.66</v>
      </c>
      <c r="D46" s="3" t="n">
        <v>340000</v>
      </c>
      <c r="E46" s="2" t="n">
        <v>7</v>
      </c>
      <c r="F46" s="2" t="n">
        <v>24.8417</v>
      </c>
      <c r="G46" s="2" t="n"/>
      <c r="H46" s="2" t="n"/>
    </row>
    <row r="47">
      <c r="A47" s="2" t="inlineStr">
        <is>
          <t>FRA+ESP</t>
        </is>
      </c>
      <c r="B47" s="2" t="inlineStr">
        <is>
          <t>base</t>
        </is>
      </c>
      <c r="C47" s="3" t="n">
        <v>129849.14</v>
      </c>
      <c r="D47" s="3" t="n">
        <v>340000</v>
      </c>
      <c r="E47" s="2" t="n">
        <v>7</v>
      </c>
      <c r="F47" s="2" t="n">
        <v>2.6184</v>
      </c>
      <c r="G47" s="2" t="n"/>
      <c r="H47" s="2" t="n"/>
    </row>
    <row r="48">
      <c r="A48" s="2" t="inlineStr">
        <is>
          <t>FRA+ESP</t>
        </is>
      </c>
      <c r="B48" s="2" t="inlineStr">
        <is>
          <t>high</t>
        </is>
      </c>
      <c r="C48" s="3" t="n">
        <v>246011.63</v>
      </c>
      <c r="D48" s="3" t="n">
        <v>340000</v>
      </c>
      <c r="E48" s="2" t="n">
        <v>7</v>
      </c>
      <c r="F48" s="2" t="n">
        <v>1.382</v>
      </c>
      <c r="G48" s="2" t="n"/>
      <c r="H48" s="2" t="n"/>
    </row>
    <row r="49">
      <c r="A49" s="2" t="inlineStr">
        <is>
          <t>FRA+ESP</t>
        </is>
      </c>
      <c r="B49" s="2" t="inlineStr">
        <is>
          <t>stress</t>
        </is>
      </c>
      <c r="C49" s="3" t="n">
        <v>73104.56</v>
      </c>
      <c r="D49" s="3" t="n">
        <v>340000</v>
      </c>
      <c r="E49" s="2" t="n">
        <v>7</v>
      </c>
      <c r="F49" s="2" t="n">
        <v>4.6509</v>
      </c>
      <c r="G49" s="2" t="n"/>
      <c r="H49" s="2" t="n"/>
    </row>
    <row r="50">
      <c r="A50" s="2" t="inlineStr">
        <is>
          <t>NLD+POL</t>
        </is>
      </c>
      <c r="B50" s="2" t="inlineStr">
        <is>
          <t>low</t>
        </is>
      </c>
      <c r="C50" s="3" t="n">
        <v>36231.65</v>
      </c>
      <c r="D50" s="3" t="n">
        <v>250000</v>
      </c>
      <c r="E50" s="2" t="n">
        <v>6</v>
      </c>
      <c r="F50" s="2" t="n">
        <v>6.9</v>
      </c>
      <c r="G50" s="2" t="n"/>
      <c r="H50" s="2" t="n"/>
    </row>
    <row r="51">
      <c r="A51" s="2" t="inlineStr">
        <is>
          <t>NLD+POL</t>
        </is>
      </c>
      <c r="B51" s="2" t="inlineStr">
        <is>
          <t>base</t>
        </is>
      </c>
      <c r="C51" s="3" t="n">
        <v>147827.53</v>
      </c>
      <c r="D51" s="3" t="n">
        <v>250000</v>
      </c>
      <c r="E51" s="2" t="n">
        <v>6</v>
      </c>
      <c r="F51" s="2" t="n">
        <v>1.6912</v>
      </c>
      <c r="G51" s="2" t="n"/>
      <c r="H51" s="2" t="n"/>
    </row>
    <row r="52">
      <c r="A52" s="2" t="inlineStr">
        <is>
          <t>NLD+POL</t>
        </is>
      </c>
      <c r="B52" s="2" t="inlineStr">
        <is>
          <t>high</t>
        </is>
      </c>
      <c r="C52" s="3" t="n">
        <v>259423.4</v>
      </c>
      <c r="D52" s="3" t="n">
        <v>250000</v>
      </c>
      <c r="E52" s="2" t="n">
        <v>6</v>
      </c>
      <c r="F52" s="2" t="n">
        <v>0.9637</v>
      </c>
      <c r="G52" s="2" t="n"/>
      <c r="H52" s="2" t="n"/>
    </row>
    <row r="53">
      <c r="A53" s="2" t="inlineStr">
        <is>
          <t>NLD+POL</t>
        </is>
      </c>
      <c r="B53" s="2" t="inlineStr">
        <is>
          <t>stress</t>
        </is>
      </c>
      <c r="C53" s="3" t="n">
        <v>-3119.33</v>
      </c>
      <c r="D53" s="3" t="n">
        <v>250000</v>
      </c>
      <c r="E53" s="2" t="n">
        <v>6</v>
      </c>
      <c r="F53" s="2" t="n"/>
      <c r="G53" s="2" t="n"/>
      <c r="H53" s="2" t="n"/>
    </row>
    <row r="54">
      <c r="A54" s="2" t="inlineStr">
        <is>
          <t>NLD+CZE</t>
        </is>
      </c>
      <c r="B54" s="2" t="inlineStr">
        <is>
          <t>low</t>
        </is>
      </c>
      <c r="C54" s="3" t="n">
        <v>42288.7</v>
      </c>
      <c r="D54" s="3" t="n">
        <v>235000</v>
      </c>
      <c r="E54" s="2" t="n">
        <v>5</v>
      </c>
      <c r="F54" s="2" t="n">
        <v>5.557</v>
      </c>
      <c r="G54" s="2" t="n"/>
      <c r="H54" s="2" t="n"/>
    </row>
    <row r="55">
      <c r="A55" s="2" t="inlineStr">
        <is>
          <t>NLD+CZE</t>
        </is>
      </c>
      <c r="B55" s="2" t="inlineStr">
        <is>
          <t>base</t>
        </is>
      </c>
      <c r="C55" s="3" t="n">
        <v>159597.99</v>
      </c>
      <c r="D55" s="3" t="n">
        <v>235000</v>
      </c>
      <c r="E55" s="2" t="n">
        <v>5</v>
      </c>
      <c r="F55" s="2" t="n">
        <v>1.4724</v>
      </c>
      <c r="G55" s="2" t="n"/>
      <c r="H55" s="2" t="n"/>
    </row>
    <row r="56">
      <c r="A56" s="2" t="inlineStr">
        <is>
          <t>NLD+CZE</t>
        </is>
      </c>
      <c r="B56" s="2" t="inlineStr">
        <is>
          <t>high</t>
        </is>
      </c>
      <c r="C56" s="3" t="n">
        <v>276907.29</v>
      </c>
      <c r="D56" s="3" t="n">
        <v>235000</v>
      </c>
      <c r="E56" s="2" t="n">
        <v>5</v>
      </c>
      <c r="F56" s="2" t="n">
        <v>0.8487</v>
      </c>
      <c r="G56" s="2" t="n"/>
      <c r="H56" s="2" t="n"/>
    </row>
    <row r="57">
      <c r="A57" s="2" t="inlineStr">
        <is>
          <t>NLD+CZE</t>
        </is>
      </c>
      <c r="B57" s="2" t="inlineStr">
        <is>
          <t>stress</t>
        </is>
      </c>
      <c r="C57" s="3" t="n">
        <v>-203.48</v>
      </c>
      <c r="D57" s="3" t="n">
        <v>235000</v>
      </c>
      <c r="E57" s="2" t="n">
        <v>5</v>
      </c>
      <c r="F57" s="2" t="n"/>
      <c r="G57" s="2" t="n"/>
      <c r="H57" s="2" t="n"/>
    </row>
    <row r="58">
      <c r="A58" s="2" t="inlineStr">
        <is>
          <t>NLD+ESP</t>
        </is>
      </c>
      <c r="B58" s="2" t="inlineStr">
        <is>
          <t>low</t>
        </is>
      </c>
      <c r="C58" s="3" t="n">
        <v>43994.29</v>
      </c>
      <c r="D58" s="3" t="n">
        <v>270000</v>
      </c>
      <c r="E58" s="2" t="n">
        <v>6</v>
      </c>
      <c r="F58" s="2" t="n">
        <v>6.1372</v>
      </c>
      <c r="G58" s="2" t="n"/>
      <c r="H58" s="2" t="n"/>
    </row>
    <row r="59">
      <c r="A59" s="2" t="inlineStr">
        <is>
          <t>NLD+ESP</t>
        </is>
      </c>
      <c r="B59" s="2" t="inlineStr">
        <is>
          <t>base</t>
        </is>
      </c>
      <c r="C59" s="3" t="n">
        <v>166931.42</v>
      </c>
      <c r="D59" s="3" t="n">
        <v>270000</v>
      </c>
      <c r="E59" s="2" t="n">
        <v>6</v>
      </c>
      <c r="F59" s="2" t="n">
        <v>1.6174</v>
      </c>
      <c r="G59" s="2" t="n"/>
      <c r="H59" s="2" t="n"/>
    </row>
    <row r="60">
      <c r="A60" s="2" t="inlineStr">
        <is>
          <t>NLD+ESP</t>
        </is>
      </c>
      <c r="B60" s="2" t="inlineStr">
        <is>
          <t>high</t>
        </is>
      </c>
      <c r="C60" s="3" t="n">
        <v>289868.56</v>
      </c>
      <c r="D60" s="3" t="n">
        <v>270000</v>
      </c>
      <c r="E60" s="2" t="n">
        <v>6</v>
      </c>
      <c r="F60" s="2" t="n">
        <v>0.9315</v>
      </c>
      <c r="G60" s="2" t="n"/>
      <c r="H60" s="2" t="n"/>
    </row>
    <row r="61">
      <c r="A61" s="2" t="inlineStr">
        <is>
          <t>NLD+ESP</t>
        </is>
      </c>
      <c r="B61" s="2" t="inlineStr">
        <is>
          <t>stress</t>
        </is>
      </c>
      <c r="C61" s="3" t="n">
        <v>107630.13</v>
      </c>
      <c r="D61" s="3" t="n">
        <v>270000</v>
      </c>
      <c r="E61" s="2" t="n">
        <v>6</v>
      </c>
      <c r="F61" s="2" t="n">
        <v>2.5086</v>
      </c>
      <c r="G61" s="2" t="n"/>
      <c r="H61" s="2" t="n"/>
    </row>
    <row r="62">
      <c r="A62" s="2" t="inlineStr">
        <is>
          <t>POL+CZE</t>
        </is>
      </c>
      <c r="B62" s="2" t="inlineStr">
        <is>
          <t>low</t>
        </is>
      </c>
      <c r="C62" s="3" t="n">
        <v>56856.46</v>
      </c>
      <c r="D62" s="3" t="n">
        <v>205000</v>
      </c>
      <c r="E62" s="2" t="n">
        <v>5</v>
      </c>
      <c r="F62" s="2" t="n">
        <v>3.6056</v>
      </c>
      <c r="G62" s="2" t="n"/>
      <c r="H62" s="2" t="n"/>
    </row>
    <row r="63">
      <c r="A63" s="2" t="inlineStr">
        <is>
          <t>POL+CZE</t>
        </is>
      </c>
      <c r="B63" s="2" t="inlineStr">
        <is>
          <t>base</t>
        </is>
      </c>
      <c r="C63" s="3" t="n">
        <v>178995.41</v>
      </c>
      <c r="D63" s="3" t="n">
        <v>205000</v>
      </c>
      <c r="E63" s="2" t="n">
        <v>5</v>
      </c>
      <c r="F63" s="2" t="n">
        <v>1.1453</v>
      </c>
      <c r="G63" s="2" t="n"/>
      <c r="H63" s="2" t="n"/>
    </row>
    <row r="64">
      <c r="A64" s="2" t="inlineStr">
        <is>
          <t>POL+CZE</t>
        </is>
      </c>
      <c r="B64" s="2" t="inlineStr">
        <is>
          <t>high</t>
        </is>
      </c>
      <c r="C64" s="3" t="n">
        <v>301134.35</v>
      </c>
      <c r="D64" s="3" t="n">
        <v>205000</v>
      </c>
      <c r="E64" s="2" t="n">
        <v>5</v>
      </c>
      <c r="F64" s="2" t="n">
        <v>0.6808</v>
      </c>
      <c r="G64" s="2" t="n"/>
      <c r="H64" s="2" t="n"/>
    </row>
    <row r="65">
      <c r="A65" s="2" t="inlineStr">
        <is>
          <t>POL+CZE</t>
        </is>
      </c>
      <c r="B65" s="2" t="inlineStr">
        <is>
          <t>stress</t>
        </is>
      </c>
      <c r="C65" s="3" t="n">
        <v>-78569.75999999999</v>
      </c>
      <c r="D65" s="3" t="n">
        <v>205000</v>
      </c>
      <c r="E65" s="2" t="n">
        <v>5</v>
      </c>
      <c r="F65" s="2" t="n"/>
      <c r="G65" s="2" t="n"/>
      <c r="H65" s="2" t="n"/>
    </row>
    <row r="66">
      <c r="A66" s="2" t="inlineStr">
        <is>
          <t>POL+ESP</t>
        </is>
      </c>
      <c r="B66" s="2" t="inlineStr">
        <is>
          <t>low</t>
        </is>
      </c>
      <c r="C66" s="3" t="n">
        <v>58562.06</v>
      </c>
      <c r="D66" s="3" t="n">
        <v>240000</v>
      </c>
      <c r="E66" s="2" t="n">
        <v>6</v>
      </c>
      <c r="F66" s="2" t="n">
        <v>4.0982</v>
      </c>
      <c r="G66" s="2" t="n"/>
      <c r="H66" s="2" t="n"/>
    </row>
    <row r="67">
      <c r="A67" s="2" t="inlineStr">
        <is>
          <t>POL+ESP</t>
        </is>
      </c>
      <c r="B67" s="2" t="inlineStr">
        <is>
          <t>base</t>
        </is>
      </c>
      <c r="C67" s="3" t="n">
        <v>186328.84</v>
      </c>
      <c r="D67" s="3" t="n">
        <v>240000</v>
      </c>
      <c r="E67" s="2" t="n">
        <v>6</v>
      </c>
      <c r="F67" s="2" t="n">
        <v>1.288</v>
      </c>
      <c r="G67" s="2" t="n"/>
      <c r="H67" s="2" t="n"/>
    </row>
    <row r="68">
      <c r="A68" s="2" t="inlineStr">
        <is>
          <t>POL+ESP</t>
        </is>
      </c>
      <c r="B68" s="2" t="inlineStr">
        <is>
          <t>high</t>
        </is>
      </c>
      <c r="C68" s="3" t="n">
        <v>314095.62</v>
      </c>
      <c r="D68" s="3" t="n">
        <v>240000</v>
      </c>
      <c r="E68" s="2" t="n">
        <v>6</v>
      </c>
      <c r="F68" s="2" t="n">
        <v>0.7641</v>
      </c>
      <c r="G68" s="2" t="n"/>
      <c r="H68" s="2" t="n"/>
    </row>
    <row r="69">
      <c r="A69" s="2" t="inlineStr">
        <is>
          <t>POL+ESP</t>
        </is>
      </c>
      <c r="B69" s="2" t="inlineStr">
        <is>
          <t>stress</t>
        </is>
      </c>
      <c r="C69" s="3" t="n">
        <v>29263.85</v>
      </c>
      <c r="D69" s="3" t="n">
        <v>240000</v>
      </c>
      <c r="E69" s="2" t="n">
        <v>6</v>
      </c>
      <c r="F69" s="2" t="n">
        <v>8.2012</v>
      </c>
      <c r="G69" s="2" t="n"/>
      <c r="H69" s="2" t="n"/>
    </row>
    <row r="70">
      <c r="A70" s="2" t="inlineStr">
        <is>
          <t>CZE+ESP</t>
        </is>
      </c>
      <c r="B70" s="2" t="inlineStr">
        <is>
          <t>low</t>
        </is>
      </c>
      <c r="C70" s="3" t="n">
        <v>64619.1</v>
      </c>
      <c r="D70" s="3" t="n">
        <v>225000</v>
      </c>
      <c r="E70" s="2" t="n">
        <v>5</v>
      </c>
      <c r="F70" s="2" t="n">
        <v>3.4819</v>
      </c>
      <c r="G70" s="2" t="n"/>
      <c r="H70" s="2" t="n"/>
    </row>
    <row r="71">
      <c r="A71" s="2" t="inlineStr">
        <is>
          <t>CZE+ESP</t>
        </is>
      </c>
      <c r="B71" s="2" t="inlineStr">
        <is>
          <t>base</t>
        </is>
      </c>
      <c r="C71" s="3" t="n">
        <v>198099.31</v>
      </c>
      <c r="D71" s="3" t="n">
        <v>225000</v>
      </c>
      <c r="E71" s="2" t="n">
        <v>5</v>
      </c>
      <c r="F71" s="2" t="n">
        <v>1.1358</v>
      </c>
      <c r="G71" s="2" t="n"/>
      <c r="H71" s="2" t="n"/>
    </row>
    <row r="72">
      <c r="A72" s="2" t="inlineStr">
        <is>
          <t>CZE+ESP</t>
        </is>
      </c>
      <c r="B72" s="2" t="inlineStr">
        <is>
          <t>high</t>
        </is>
      </c>
      <c r="C72" s="3" t="n">
        <v>331579.51</v>
      </c>
      <c r="D72" s="3" t="n">
        <v>225000</v>
      </c>
      <c r="E72" s="2" t="n">
        <v>5</v>
      </c>
      <c r="F72" s="2" t="n">
        <v>0.6786</v>
      </c>
      <c r="G72" s="2" t="n"/>
      <c r="H72" s="2" t="n"/>
    </row>
    <row r="73">
      <c r="A73" s="2" t="inlineStr">
        <is>
          <t>CZE+ESP</t>
        </is>
      </c>
      <c r="B73" s="2" t="inlineStr">
        <is>
          <t>stress</t>
        </is>
      </c>
      <c r="C73" s="3" t="n">
        <v>32179.71</v>
      </c>
      <c r="D73" s="3" t="n">
        <v>225000</v>
      </c>
      <c r="E73" s="2" t="n">
        <v>5</v>
      </c>
      <c r="F73" s="2" t="n">
        <v>6.992</v>
      </c>
      <c r="G73" s="2" t="n"/>
      <c r="H73" s="2" t="n"/>
    </row>
  </sheetData>
  <autoFilter ref="A1:F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14" customWidth="1" min="5" max="5"/>
  </cols>
  <sheetData>
    <row r="1" ht="29" customHeight="1">
      <c r="A1" s="1" t="inlineStr">
        <is>
          <t>choice</t>
        </is>
      </c>
      <c r="B1" s="1" t="inlineStr">
        <is>
          <t>base_eur</t>
        </is>
      </c>
      <c r="C1" s="1" t="inlineStr">
        <is>
          <t>stress_eur</t>
        </is>
      </c>
      <c r="D1" s="1" t="inlineStr">
        <is>
          <t>capex_eur</t>
        </is>
      </c>
      <c r="E1" s="1" t="inlineStr">
        <is>
          <t>fte</t>
        </is>
      </c>
    </row>
    <row r="2">
      <c r="A2" s="2" t="inlineStr">
        <is>
          <t>CZE+ESP</t>
        </is>
      </c>
      <c r="B2" s="3" t="n">
        <v>198099.31</v>
      </c>
      <c r="C2" s="3" t="n">
        <v>32179.71</v>
      </c>
      <c r="D2" s="3" t="n">
        <v>225000</v>
      </c>
      <c r="E2" s="2" t="n">
        <v>5</v>
      </c>
    </row>
    <row r="3">
      <c r="A3" s="2" t="inlineStr">
        <is>
          <t>POL+ESP</t>
        </is>
      </c>
      <c r="B3" s="3" t="n">
        <v>186328.84</v>
      </c>
      <c r="C3" s="3" t="n">
        <v>29263.85</v>
      </c>
      <c r="D3" s="3" t="n">
        <v>240000</v>
      </c>
      <c r="E3" s="2" t="n">
        <v>6</v>
      </c>
    </row>
    <row r="4">
      <c r="A4" s="2" t="inlineStr">
        <is>
          <t>POL+CZE</t>
        </is>
      </c>
      <c r="B4" s="3" t="n">
        <v>178995.41</v>
      </c>
      <c r="C4" s="3" t="n">
        <v>-78569.75999999999</v>
      </c>
      <c r="D4" s="3" t="n">
        <v>205000</v>
      </c>
      <c r="E4" s="2" t="n">
        <v>5</v>
      </c>
    </row>
    <row r="5">
      <c r="A5" s="2" t="inlineStr">
        <is>
          <t>NLD+ESP</t>
        </is>
      </c>
      <c r="B5" s="3" t="n">
        <v>166931.42</v>
      </c>
      <c r="C5" s="3" t="n">
        <v>107630.13</v>
      </c>
      <c r="D5" s="3" t="n">
        <v>270000</v>
      </c>
      <c r="E5" s="2" t="n">
        <v>6</v>
      </c>
    </row>
    <row r="6">
      <c r="A6" s="2" t="inlineStr">
        <is>
          <t>NLD+CZE</t>
        </is>
      </c>
      <c r="B6" s="3" t="n">
        <v>159597.99</v>
      </c>
      <c r="C6" s="3" t="n">
        <v>-203.48</v>
      </c>
      <c r="D6" s="3" t="n">
        <v>235000</v>
      </c>
      <c r="E6" s="2" t="n">
        <v>5</v>
      </c>
    </row>
    <row r="7">
      <c r="A7" s="2" t="inlineStr">
        <is>
          <t>NLD+POL</t>
        </is>
      </c>
      <c r="B7" s="3" t="n">
        <v>147827.53</v>
      </c>
      <c r="C7" s="3" t="n">
        <v>-3119.33</v>
      </c>
      <c r="D7" s="3" t="n">
        <v>250000</v>
      </c>
      <c r="E7" s="2" t="n">
        <v>6</v>
      </c>
    </row>
    <row r="8">
      <c r="A8" s="2" t="inlineStr">
        <is>
          <t>FRA+ESP</t>
        </is>
      </c>
      <c r="B8" s="3" t="n">
        <v>129849.14</v>
      </c>
      <c r="C8" s="3" t="n">
        <v>73104.56</v>
      </c>
      <c r="D8" s="3" t="n">
        <v>340000</v>
      </c>
      <c r="E8" s="2" t="n">
        <v>7</v>
      </c>
    </row>
    <row r="9">
      <c r="A9" s="2" t="inlineStr">
        <is>
          <t>FRA+CZE</t>
        </is>
      </c>
      <c r="B9" s="3" t="n">
        <v>122515.71</v>
      </c>
      <c r="C9" s="3" t="n">
        <v>-34729.05</v>
      </c>
      <c r="D9" s="3" t="n">
        <v>305000</v>
      </c>
      <c r="E9" s="2" t="n">
        <v>6</v>
      </c>
    </row>
    <row r="10">
      <c r="A10" s="2" t="inlineStr">
        <is>
          <t>FRA+POL</t>
        </is>
      </c>
      <c r="B10" s="3" t="n">
        <v>110745.25</v>
      </c>
      <c r="C10" s="3" t="n">
        <v>-37644.9</v>
      </c>
      <c r="D10" s="3" t="n">
        <v>320000</v>
      </c>
      <c r="E10" s="2" t="n">
        <v>7</v>
      </c>
    </row>
    <row r="11">
      <c r="A11" s="2" t="inlineStr">
        <is>
          <t>DEU+CZE</t>
        </is>
      </c>
      <c r="B11" s="3" t="n">
        <v>105471.58</v>
      </c>
      <c r="C11" s="3" t="n">
        <v>-51409.99</v>
      </c>
      <c r="D11" s="3" t="n">
        <v>375000</v>
      </c>
      <c r="E11" s="2" t="n">
        <v>7</v>
      </c>
    </row>
    <row r="12">
      <c r="A12" s="2" t="inlineStr">
        <is>
          <t>ESP</t>
        </is>
      </c>
      <c r="B12" s="3" t="n">
        <v>102716.37</v>
      </c>
      <c r="C12" s="3" t="n">
        <v>70006.66</v>
      </c>
      <c r="D12" s="3" t="n">
        <v>130000</v>
      </c>
      <c r="E12" s="2" t="n">
        <v>3</v>
      </c>
    </row>
    <row r="13">
      <c r="A13" s="2" t="inlineStr">
        <is>
          <t>CZE</t>
        </is>
      </c>
      <c r="B13" s="3" t="n">
        <v>95382.94</v>
      </c>
      <c r="C13" s="3" t="n">
        <v>-37826.95</v>
      </c>
      <c r="D13" s="3" t="n">
        <v>95000</v>
      </c>
      <c r="E13" s="2" t="n">
        <v>2</v>
      </c>
    </row>
    <row r="14">
      <c r="A14" s="2" t="inlineStr">
        <is>
          <t>FRA+NLD</t>
        </is>
      </c>
      <c r="B14" s="3" t="n">
        <v>91347.83</v>
      </c>
      <c r="C14" s="3" t="n">
        <v>40721.38</v>
      </c>
      <c r="D14" s="3" t="n">
        <v>350000</v>
      </c>
      <c r="E14" s="2" t="n">
        <v>7</v>
      </c>
    </row>
    <row r="15">
      <c r="A15" s="2" t="inlineStr">
        <is>
          <t>POL</t>
        </is>
      </c>
      <c r="B15" s="3" t="n">
        <v>83612.47</v>
      </c>
      <c r="C15" s="3" t="n">
        <v>-40742.81</v>
      </c>
      <c r="D15" s="3" t="n">
        <v>110000</v>
      </c>
      <c r="E15" s="2" t="n">
        <v>3</v>
      </c>
    </row>
    <row r="16">
      <c r="A16" s="2" t="inlineStr">
        <is>
          <t>NLD</t>
        </is>
      </c>
      <c r="B16" s="3" t="n">
        <v>64215.06</v>
      </c>
      <c r="C16" s="3" t="n">
        <v>37623.47</v>
      </c>
      <c r="D16" s="3" t="n">
        <v>140000</v>
      </c>
      <c r="E16" s="2" t="n">
        <v>3</v>
      </c>
    </row>
    <row r="17">
      <c r="A17" s="2" t="inlineStr">
        <is>
          <t>FRA</t>
        </is>
      </c>
      <c r="B17" s="3" t="n">
        <v>27132.78</v>
      </c>
      <c r="C17" s="3" t="n">
        <v>3097.9</v>
      </c>
      <c r="D17" s="3" t="n">
        <v>210000</v>
      </c>
      <c r="E17" s="2" t="n">
        <v>4</v>
      </c>
    </row>
    <row r="18">
      <c r="A18" s="2" t="inlineStr">
        <is>
          <t>DEU</t>
        </is>
      </c>
      <c r="B18" s="3" t="n">
        <v>10088.64</v>
      </c>
      <c r="C18" s="3" t="n">
        <v>-13583.04</v>
      </c>
      <c r="D18" s="3" t="n">
        <v>280000</v>
      </c>
      <c r="E18" s="2" t="n">
        <v>5</v>
      </c>
    </row>
  </sheetData>
  <autoFilter ref="A1:E18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0" customWidth="1" min="2" max="2"/>
  </cols>
  <sheetData>
    <row r="1" ht="29" customHeight="1">
      <c r="A1" s="1" t="inlineStr">
        <is>
          <t>Checkpoint</t>
        </is>
      </c>
      <c r="B1" s="1" t="inlineStr">
        <is>
          <t>Finding / treatment</t>
        </is>
      </c>
    </row>
    <row r="2">
      <c r="A2" s="2" t="inlineStr">
        <is>
          <t>Order raw rows</t>
        </is>
      </c>
      <c r="B2" s="2" t="n">
        <v>1328</v>
      </c>
    </row>
    <row r="3">
      <c r="A3" s="2" t="inlineStr">
        <is>
          <t>Order distinct IDs</t>
        </is>
      </c>
      <c r="B3" s="2" t="n">
        <v>1297</v>
      </c>
    </row>
    <row r="4">
      <c r="A4" s="2" t="inlineStr">
        <is>
          <t>Order exact duplicate extras</t>
        </is>
      </c>
      <c r="B4" s="2" t="n">
        <v>13</v>
      </c>
    </row>
    <row r="5">
      <c r="A5" s="2" t="inlineStr">
        <is>
          <t>Order superseded revisions</t>
        </is>
      </c>
      <c r="B5" s="2" t="n">
        <v>18</v>
      </c>
    </row>
    <row r="6">
      <c r="A6" s="2" t="inlineStr">
        <is>
          <t>Eligible 2025 orders</t>
        </is>
      </c>
      <c r="B6" s="2" t="n">
        <v>1254</v>
      </c>
    </row>
    <row r="7">
      <c r="A7" s="2" t="inlineStr">
        <is>
          <t>Excluded latest records: cancelled</t>
        </is>
      </c>
      <c r="B7" s="2" t="n">
        <v>24</v>
      </c>
    </row>
    <row r="8">
      <c r="A8" s="2" t="inlineStr">
        <is>
          <t>Excluded latest records: test</t>
        </is>
      </c>
      <c r="B8" s="2" t="n">
        <v>18</v>
      </c>
    </row>
    <row r="9">
      <c r="A9" s="2" t="inlineStr">
        <is>
          <t>Excluded latest records: outside 2025</t>
        </is>
      </c>
      <c r="B9" s="2" t="n">
        <v>25</v>
      </c>
    </row>
    <row r="10">
      <c r="A10" s="2" t="inlineStr">
        <is>
          <t>Return raw rows</t>
        </is>
      </c>
      <c r="B10" s="2" t="n">
        <v>264</v>
      </c>
    </row>
    <row r="11">
      <c r="A11" s="2" t="inlineStr">
        <is>
          <t>Return distinct IDs</t>
        </is>
      </c>
      <c r="B11" s="2" t="n">
        <v>243</v>
      </c>
    </row>
    <row r="12">
      <c r="A12" s="2" t="inlineStr">
        <is>
          <t>Return exact duplicate extras</t>
        </is>
      </c>
      <c r="B12" s="2" t="n">
        <v>20</v>
      </c>
    </row>
    <row r="13">
      <c r="A13" s="2" t="inlineStr">
        <is>
          <t>Return superseded revisions</t>
        </is>
      </c>
      <c r="B13" s="2" t="n">
        <v>1</v>
      </c>
    </row>
    <row r="14">
      <c r="A14" s="2" t="inlineStr">
        <is>
          <t>Included return IDs</t>
        </is>
      </c>
      <c r="B14" s="2" t="n">
        <v>241</v>
      </c>
    </row>
    <row r="15">
      <c r="A15" s="2" t="inlineStr">
        <is>
          <t>Quarantined orphan</t>
        </is>
      </c>
      <c r="B15" s="2" t="inlineStr">
        <is>
          <t>[{'return_id': 'R-ORPHAN', 'order_id': 'ABSENT', 'reason': 'unknown_order'}]</t>
        </is>
      </c>
    </row>
    <row r="16">
      <c r="A16" s="2" t="inlineStr">
        <is>
          <t>After-cutoff return</t>
        </is>
      </c>
      <c r="B16" s="2" t="inlineStr">
        <is>
          <t>['R-LATE']</t>
        </is>
      </c>
    </row>
    <row r="17">
      <c r="A17" s="2" t="inlineStr">
        <is>
          <t>Zero-price eligible shipments</t>
        </is>
      </c>
      <c r="B17" s="2" t="n">
        <v>12</v>
      </c>
    </row>
    <row r="18">
      <c r="A18" s="2" t="inlineStr">
        <is>
          <t>Missing required inputs</t>
        </is>
      </c>
      <c r="B18" s="2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65" customWidth="1" min="3" max="3"/>
    <col width="31" customWidth="1" min="4" max="4"/>
    <col width="70" customWidth="1" min="5" max="5"/>
    <col width="32" customWidth="1" min="6" max="6"/>
    <col width="45" customWidth="1" min="7" max="7"/>
    <col width="100" customWidth="1" min="8" max="8"/>
    <col width="31" customWidth="1" min="9" max="9"/>
    <col width="24" customWidth="1" min="10" max="10"/>
  </cols>
  <sheetData>
    <row r="1" ht="29" customHeight="1">
      <c r="A1" s="1" t="inlineStr">
        <is>
          <t>file</t>
        </is>
      </c>
      <c r="B1" s="1" t="inlineStr">
        <is>
          <t>status</t>
        </is>
      </c>
      <c r="C1" s="1" t="inlineStr">
        <is>
          <t>collected_from</t>
        </is>
      </c>
      <c r="D1" s="1" t="inlineStr">
        <is>
          <t>collected_utc</t>
        </is>
      </c>
      <c r="E1" s="1" t="inlineStr">
        <is>
          <t>sha256</t>
        </is>
      </c>
      <c r="F1" s="1" t="inlineStr">
        <is>
          <t>units</t>
        </is>
      </c>
      <c r="G1" s="1" t="inlineStr">
        <is>
          <t>period</t>
        </is>
      </c>
      <c r="H1" s="1" t="inlineStr">
        <is>
          <t>original_public_url</t>
        </is>
      </c>
      <c r="I1" s="1" t="inlineStr">
        <is>
          <t>original_retrieved_utc</t>
        </is>
      </c>
      <c r="J1" s="1" t="inlineStr">
        <is>
          <t>archive_hash_verified</t>
        </is>
      </c>
    </row>
    <row r="2">
      <c r="A2" s="2" t="inlineStr">
        <is>
          <t>sources/raw/data-dictionary.md</t>
        </is>
      </c>
      <c r="B2" s="2" t="inlineStr">
        <is>
          <t>synthetic client/source-room metadata</t>
        </is>
      </c>
      <c r="C2" s="2" t="inlineStr">
        <is>
          <t>http://127.0.0.1:51903/data-dictionary.md</t>
        </is>
      </c>
      <c r="D2" s="2" t="inlineStr">
        <is>
          <t>2026-09-27T07:51:15.062258+00:00</t>
        </is>
      </c>
      <c r="E2" s="2" t="inlineStr">
        <is>
          <t>0a1866e9f89b5c6d40ed2ac24599a118223360fa028e61012d1ecd8ac6b6117f</t>
        </is>
      </c>
      <c r="F2" s="2" t="inlineStr">
        <is>
          <t>accounting rules</t>
        </is>
      </c>
      <c r="G2" s="2" t="inlineStr">
        <is>
          <t>2025 shipments / returns through 2026-01-31</t>
        </is>
      </c>
      <c r="H2" s="2" t="n"/>
      <c r="I2" s="2" t="n"/>
      <c r="J2" s="2" t="n"/>
    </row>
    <row r="3">
      <c r="A3" s="2" t="inlineStr">
        <is>
          <t>sources/raw/ecb-history.csv</t>
        </is>
      </c>
      <c r="B3" s="2" t="inlineStr">
        <is>
          <t>archived official public snapshot</t>
        </is>
      </c>
      <c r="C3" s="2" t="inlineStr">
        <is>
          <t>http://127.0.0.1:51903/ecb-history.csv</t>
        </is>
      </c>
      <c r="D3" s="2" t="inlineStr">
        <is>
          <t>2026-09-27T07:51:15.074134+00:00</t>
        </is>
      </c>
      <c r="E3" s="2" t="inlineStr">
        <is>
          <t>e8136f072d575cb891cb58718fe31602ca2d4feccee67f035106393ed1c4bdbb</t>
        </is>
      </c>
      <c r="F3" s="2" t="inlineStr">
        <is>
          <t>local currency units per EUR</t>
        </is>
      </c>
      <c r="G3" s="2" t="inlineStr">
        <is>
          <t>daily ECB history; 2025 used</t>
        </is>
      </c>
      <c r="H3" s="2" t="n"/>
      <c r="I3" s="2" t="n"/>
      <c r="J3" s="2" t="b">
        <v>1</v>
      </c>
    </row>
    <row r="4">
      <c r="A4" s="2" t="inlineStr">
        <is>
          <t>sources/raw/ecb-history.zip</t>
        </is>
      </c>
      <c r="B4" s="2" t="inlineStr">
        <is>
          <t>archived official public snapshot</t>
        </is>
      </c>
      <c r="C4" s="2" t="inlineStr">
        <is>
          <t>http://127.0.0.1:51903/ecb-history.zip</t>
        </is>
      </c>
      <c r="D4" s="2" t="inlineStr">
        <is>
          <t>2026-09-27T07:51:15.082801+00:00</t>
        </is>
      </c>
      <c r="E4" s="2" t="inlineStr">
        <is>
          <t>dfe9ab070c0679d42a174981e07b240131d2db19d20108a5d0e4653d9f61fc9f</t>
        </is>
      </c>
      <c r="F4" s="2" t="inlineStr">
        <is>
          <t>local currency units per EUR</t>
        </is>
      </c>
      <c r="G4" s="2" t="inlineStr">
        <is>
          <t>daily ECB history; 2025 used</t>
        </is>
      </c>
      <c r="H4" s="2" t="inlineStr">
        <is>
          <t>https://www.ecb.europa.eu/stats/eurofxref/eurofxref-hist.zip</t>
        </is>
      </c>
      <c r="I4" s="2" t="inlineStr">
        <is>
          <t>2026-09-27T06:36:40.952057+00:00</t>
        </is>
      </c>
      <c r="J4" s="2" t="b">
        <v>1</v>
      </c>
    </row>
    <row r="5">
      <c r="A5" s="2" t="inlineStr">
        <is>
          <t>sources/raw/gdp-per-capita.json</t>
        </is>
      </c>
      <c r="B5" s="2" t="inlineStr">
        <is>
          <t>archived official public snapshot</t>
        </is>
      </c>
      <c r="C5" s="2" t="inlineStr">
        <is>
          <t>http://127.0.0.1:51903/gdp-per-capita.json</t>
        </is>
      </c>
      <c r="D5" s="2" t="inlineStr">
        <is>
          <t>2026-09-27T07:51:15.091692+00:00</t>
        </is>
      </c>
      <c r="E5" s="2" t="inlineStr">
        <is>
          <t>df654256a8803415e2e2c5864d1a00966cfd3150c069b1b897101748471524da</t>
        </is>
      </c>
      <c r="F5" s="2" t="inlineStr">
        <is>
          <t>current US$ per person</t>
        </is>
      </c>
      <c r="G5" s="2" t="inlineStr">
        <is>
          <t>2022-2024</t>
        </is>
      </c>
      <c r="H5" s="2" t="inlineStr">
        <is>
          <t>https://api.worldbank.org/v2/country/DEU;FRA;NLD;POL;CZE;ESP/indicator/NY.GDP.PCAP.CD?date=2022:2024&amp;format=json&amp;per_page=1000</t>
        </is>
      </c>
      <c r="I5" s="2" t="inlineStr">
        <is>
          <t>2026-09-27T06:36:40.951986+00:00</t>
        </is>
      </c>
      <c r="J5" s="2" t="b">
        <v>1</v>
      </c>
    </row>
    <row r="6">
      <c r="A6" s="2" t="inlineStr">
        <is>
          <t>sources/raw/hub-options.csv</t>
        </is>
      </c>
      <c r="B6" s="2" t="inlineStr">
        <is>
          <t>synthetic client/source-room metadata</t>
        </is>
      </c>
      <c r="C6" s="2" t="inlineStr">
        <is>
          <t>http://127.0.0.1:51903/hub-options.csv</t>
        </is>
      </c>
      <c r="D6" s="2" t="inlineStr">
        <is>
          <t>2026-09-27T07:51:15.100071+00:00</t>
        </is>
      </c>
      <c r="E6" s="2" t="inlineStr">
        <is>
          <t>2f508c9bd49c45b9b28621f46cc68cb7ac6fa4f3fc1acabb61a7c4f06dce6006</t>
        </is>
      </c>
      <c r="F6" s="2" t="inlineStr">
        <is>
          <t>EUR capex; FTE; EUR annual fixed; EUR saving per unit</t>
        </is>
      </c>
      <c r="G6" s="2" t="inlineStr">
        <is>
          <t>annual scenario assumptions</t>
        </is>
      </c>
      <c r="H6" s="2" t="n"/>
      <c r="I6" s="2" t="n"/>
      <c r="J6" s="2" t="n"/>
    </row>
    <row r="7">
      <c r="A7" s="2" t="inlineStr">
        <is>
          <t>sources/raw/order-corrections.csv</t>
        </is>
      </c>
      <c r="B7" s="2" t="inlineStr">
        <is>
          <t>synthetic client/source-room metadata</t>
        </is>
      </c>
      <c r="C7" s="2" t="inlineStr">
        <is>
          <t>http://127.0.0.1:51903/order-corrections.csv</t>
        </is>
      </c>
      <c r="D7" s="2" t="inlineStr">
        <is>
          <t>2026-09-27T07:51:15.106513+00:00</t>
        </is>
      </c>
      <c r="E7" s="2" t="inlineStr">
        <is>
          <t>5cbfcbaf15ff4cf875ef8059a1408160758115b0734fe53dbd971d368ec7131d</t>
        </is>
      </c>
      <c r="F7" s="2" t="inlineStr">
        <is>
          <t>local-currency sales and discounts; EUR fulfillment; units</t>
        </is>
      </c>
      <c r="G7" s="2" t="inlineStr">
        <is>
          <t>2025 revised shipments</t>
        </is>
      </c>
      <c r="H7" s="2" t="n"/>
      <c r="I7" s="2" t="n"/>
      <c r="J7" s="2" t="n"/>
    </row>
    <row r="8">
      <c r="A8" s="2" t="inlineStr">
        <is>
          <t>sources/raw/orders-part1.csv</t>
        </is>
      </c>
      <c r="B8" s="2" t="inlineStr">
        <is>
          <t>synthetic client/source-room metadata</t>
        </is>
      </c>
      <c r="C8" s="2" t="inlineStr">
        <is>
          <t>http://127.0.0.1:51903/orders-part1.csv</t>
        </is>
      </c>
      <c r="D8" s="2" t="inlineStr">
        <is>
          <t>2026-09-27T07:51:15.113558+00:00</t>
        </is>
      </c>
      <c r="E8" s="2" t="inlineStr">
        <is>
          <t>be35dd1504ce473fdbb634ee4ef964b5c0f5846d5ec3e5ef7d0110a4a361d056</t>
        </is>
      </c>
      <c r="F8" s="2" t="inlineStr">
        <is>
          <t>local-currency sales and discounts; EUR fulfillment; units</t>
        </is>
      </c>
      <c r="G8" s="2" t="inlineStr">
        <is>
          <t>2025 shipments plus excluded records</t>
        </is>
      </c>
      <c r="H8" s="2" t="n"/>
      <c r="I8" s="2" t="n"/>
      <c r="J8" s="2" t="n"/>
    </row>
    <row r="9">
      <c r="A9" s="2" t="inlineStr">
        <is>
          <t>sources/raw/orders-part2.csv</t>
        </is>
      </c>
      <c r="B9" s="2" t="inlineStr">
        <is>
          <t>synthetic client/source-room metadata</t>
        </is>
      </c>
      <c r="C9" s="2" t="inlineStr">
        <is>
          <t>http://127.0.0.1:51903/orders-part2.csv</t>
        </is>
      </c>
      <c r="D9" s="2" t="inlineStr">
        <is>
          <t>2026-09-27T07:51:15.120710+00:00</t>
        </is>
      </c>
      <c r="E9" s="2" t="inlineStr">
        <is>
          <t>43efbae4b8a57832a8936c85c7c253df4e74190dcc5b31298198c8a97bf19509</t>
        </is>
      </c>
      <c r="F9" s="2" t="inlineStr">
        <is>
          <t>local-currency sales and discounts; EUR fulfillment; units</t>
        </is>
      </c>
      <c r="G9" s="2" t="inlineStr">
        <is>
          <t>2025 shipments plus excluded records</t>
        </is>
      </c>
      <c r="H9" s="2" t="n"/>
      <c r="I9" s="2" t="n"/>
      <c r="J9" s="2" t="n"/>
    </row>
    <row r="10">
      <c r="A10" s="2" t="inlineStr">
        <is>
          <t>sources/raw/population.json</t>
        </is>
      </c>
      <c r="B10" s="2" t="inlineStr">
        <is>
          <t>archived official public snapshot</t>
        </is>
      </c>
      <c r="C10" s="2" t="inlineStr">
        <is>
          <t>http://127.0.0.1:51903/population.json</t>
        </is>
      </c>
      <c r="D10" s="2" t="inlineStr">
        <is>
          <t>2026-09-27T07:51:15.128131+00:00</t>
        </is>
      </c>
      <c r="E10" s="2" t="inlineStr">
        <is>
          <t>dd4b81e55e236d0ff45efb6ec59d1575cf3792395257ee182953e17d928815b2</t>
        </is>
      </c>
      <c r="F10" s="2" t="inlineStr">
        <is>
          <t>persons</t>
        </is>
      </c>
      <c r="G10" s="2" t="inlineStr">
        <is>
          <t>2022-2024</t>
        </is>
      </c>
      <c r="H10" s="2" t="inlineStr">
        <is>
          <t>https://api.worldbank.org/v2/country/DEU;FRA;NLD;POL;CZE;ESP/indicator/SP.POP.TOTL?date=2022:2024&amp;format=json&amp;per_page=1000</t>
        </is>
      </c>
      <c r="I10" s="2" t="inlineStr">
        <is>
          <t>2026-09-27T06:36:40.951815+00:00</t>
        </is>
      </c>
      <c r="J10" s="2" t="b">
        <v>1</v>
      </c>
    </row>
    <row r="11">
      <c r="A11" s="2" t="inlineStr">
        <is>
          <t>sources/raw/returns.csv</t>
        </is>
      </c>
      <c r="B11" s="2" t="inlineStr">
        <is>
          <t>synthetic client/source-room metadata</t>
        </is>
      </c>
      <c r="C11" s="2" t="inlineStr">
        <is>
          <t>http://127.0.0.1:51903/returns.csv</t>
        </is>
      </c>
      <c r="D11" s="2" t="inlineStr">
        <is>
          <t>2026-09-27T07:51:15.135235+00:00</t>
        </is>
      </c>
      <c r="E11" s="2" t="inlineStr">
        <is>
          <t>f356d530a9f95cc3e9770e299dbd561cfb55e2dcb02bf6142dcef1e657a6d713</t>
        </is>
      </c>
      <c r="F11" s="2" t="inlineStr">
        <is>
          <t>local-currency refunds; physical and restocked units</t>
        </is>
      </c>
      <c r="G11" s="2" t="inlineStr">
        <is>
          <t>returns received through and after 2026-01-31</t>
        </is>
      </c>
      <c r="H11" s="2" t="n"/>
      <c r="I11" s="2" t="n"/>
      <c r="J11" s="2" t="n"/>
    </row>
    <row r="12">
      <c r="A12" s="2" t="inlineStr">
        <is>
          <t>sources/raw/scenario-policy.md</t>
        </is>
      </c>
      <c r="B12" s="2" t="inlineStr">
        <is>
          <t>synthetic client/source-room metadata</t>
        </is>
      </c>
      <c r="C12" s="2" t="inlineStr">
        <is>
          <t>http://127.0.0.1:51903/scenario-policy.md</t>
        </is>
      </c>
      <c r="D12" s="2" t="inlineStr">
        <is>
          <t>2026-09-27T07:51:15.141136+00:00</t>
        </is>
      </c>
      <c r="E12" s="2" t="inlineStr">
        <is>
          <t>0567e2f884c19c78ea2ab43a97feb1fd31bfa13db429d7d2f4bfb768b481499b</t>
        </is>
      </c>
      <c r="F12" s="2" t="inlineStr">
        <is>
          <t>dimensionless uplift/shocks; EUR decision bounds</t>
        </is>
      </c>
      <c r="G12" s="2" t="inlineStr">
        <is>
          <t>annual scenario assumptions</t>
        </is>
      </c>
      <c r="H12" s="2" t="n"/>
      <c r="I12" s="2" t="n"/>
      <c r="J12" s="2" t="n"/>
    </row>
    <row r="13">
      <c r="A13" s="2" t="inlineStr">
        <is>
          <t>sources/raw/source-register.json</t>
        </is>
      </c>
      <c r="B13" s="2" t="inlineStr">
        <is>
          <t>synthetic client/source-room metadata</t>
        </is>
      </c>
      <c r="C13" s="2" t="inlineStr">
        <is>
          <t>http://127.0.0.1:51903/source-register.json</t>
        </is>
      </c>
      <c r="D13" s="2" t="inlineStr">
        <is>
          <t>2026-09-27T07:51:15.147619+00:00</t>
        </is>
      </c>
      <c r="E13" s="2" t="inlineStr">
        <is>
          <t>c38ffd64f6303924065e87b305e1cb0a6dd8312633d3eb703fb8492a8b30de3b</t>
        </is>
      </c>
      <c r="F13" s="2" t="inlineStr">
        <is>
          <t>source metadata and SHA-256 hashes</t>
        </is>
      </c>
      <c r="G13" s="2" t="inlineStr">
        <is>
          <t>archive retrieval vintage 2026-09-27</t>
        </is>
      </c>
      <c r="H13" s="2" t="n"/>
      <c r="I13" s="2" t="n"/>
      <c r="J13" s="2" t="n"/>
    </row>
    <row r="14">
      <c r="A14" s="2" t="inlineStr">
        <is>
          <t>sources/raw/unit-costs.csv</t>
        </is>
      </c>
      <c r="B14" s="2" t="inlineStr">
        <is>
          <t>synthetic client/source-room metadata</t>
        </is>
      </c>
      <c r="C14" s="2" t="inlineStr">
        <is>
          <t>http://127.0.0.1:51903/unit-costs.csv</t>
        </is>
      </c>
      <c r="D14" s="2" t="inlineStr">
        <is>
          <t>2026-09-27T07:51:15.154677+00:00</t>
        </is>
      </c>
      <c r="E14" s="2" t="inlineStr">
        <is>
          <t>76dce7f58ab3d3eec5af1e50c5af45bf2fdc72d195478b4e17d46a2951342b31</t>
        </is>
      </c>
      <c r="F14" s="2" t="inlineStr">
        <is>
          <t>EUR per unit</t>
        </is>
      </c>
      <c r="G14" s="2" t="inlineStr">
        <is>
          <t>effective from 2025-01-01 and 2025-07-01</t>
        </is>
      </c>
      <c r="H14" s="2" t="n"/>
      <c r="I14" s="2" t="n"/>
      <c r="J14" s="2" t="n"/>
    </row>
  </sheetData>
  <autoFilter ref="A1:J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2026-09-27T08:07:31Z</dcterms:created>
  <dcterms:modified xmlns:dcterms="http://purl.org/dc/terms/" xmlns:xsi="http://www.w3.org/2001/XMLSchema-instance" xsi:type="dcterms:W3CDTF">2026-09-27T08:07:32Z</dcterms:modified>
</cp:coreProperties>
</file>
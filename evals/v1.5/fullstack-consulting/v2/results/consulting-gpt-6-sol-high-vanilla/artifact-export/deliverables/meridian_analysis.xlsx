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Annual" sheetId="2" r:id="rId2"/>
    <sheet name="Monthly" sheetId="3" r:id="rId3"/>
    <sheet name="FX" sheetId="4" r:id="rId4"/>
    <sheet name="Market context" sheetId="5" r:id="rId5"/>
    <sheet name="Hub inputs" sheetId="6" r:id="rId6"/>
    <sheet name="Scenarios" sheetId="7" r:id="rId7"/>
    <sheet name="Decision" sheetId="8" r:id="rId8"/>
    <sheet name="Quality" sheetId="9" r:id="rId9"/>
    <sheet name="Sources" sheetId="10" r:id="rId10"/>
  </sheets>
  <definedNames>
    <definedName name="_xlnm._FilterDatabase" localSheetId="1" hidden="1">Annual!$A$5:$K$11</definedName>
    <definedName name="_xlnm._FilterDatabase" localSheetId="7" hidden="1">Decision!$A$5:$H$23</definedName>
    <definedName name="_xlnm._FilterDatabase" localSheetId="3" hidden="1">FX!$A$5:$D$29</definedName>
    <definedName name="_xlnm._FilterDatabase" localSheetId="5" hidden="1">'Hub inputs'!$A$5:$E$11</definedName>
    <definedName name="_xlnm._FilterDatabase" localSheetId="4" hidden="1">'Market context'!$A$5:$D$23</definedName>
    <definedName name="_xlnm._FilterDatabase" localSheetId="2" hidden="1">Monthly!$A$5:$L$77</definedName>
    <definedName name="_xlnm._FilterDatabase" localSheetId="8" hidden="1">Quality!$A$5:$B$33</definedName>
    <definedName name="_xlnm._FilterDatabase" localSheetId="0" hidden="1">'Read me'!$A$5:$B$12</definedName>
    <definedName name="_xlnm._FilterDatabase" localSheetId="6" hidden="1">Scenarios!$A$5:$F$77</definedName>
    <definedName name="_xlnm._FilterDatabase" localSheetId="9" hidden="1">Sources!$A$5:$H$19</definedName>
  </definedNames>
  <calcPr calcId="124519" fullCalcOnLoad="1"/>
</workbook>
</file>

<file path=xl/sharedStrings.xml><?xml version="1.0" encoding="utf-8"?>
<sst xmlns="http://schemas.openxmlformats.org/spreadsheetml/2006/main" count="612" uniqueCount="219">
  <si>
    <t>Meridian Parts | decision workbook</t>
  </si>
  <si>
    <t>Use the tabs for audited records, country and monthly results, archived context, scenario comparisons and source/quality evidence.</t>
  </si>
  <si>
    <t>Topic</t>
  </si>
  <si>
    <t>Guidance</t>
  </si>
  <si>
    <t>Decision</t>
  </si>
  <si>
    <t>Stage ESP first; release CZE only after day-90 gate. Pair base €198,099/year, stress €32,180/year; €225,000 capex and 5 FTE.</t>
  </si>
  <si>
    <t>Scope</t>
  </si>
  <si>
    <t>2025 shipped orders; returns received through 2026-01-31 inclusive. One row per highest-revision order ID; legitimate zero-price orders retained.</t>
  </si>
  <si>
    <t>Accounting</t>
  </si>
  <si>
    <t>Gross = units × local price − discount; refunds summed by original order; both translated with original sale-month ECB local units per EUR. Per-order EUR components rounded half-up to cents, then summed.</t>
  </si>
  <si>
    <t>Contribution</t>
  </si>
  <si>
    <t>Net sales − net COGS − actual nonrefundable fulfillment. Net COGS recovers only restocked units. This is neither cash flow nor GAAP profit.</t>
  </si>
  <si>
    <t>Scenario</t>
  </si>
  <si>
    <t>Annual incremental = C×u + U×(1+u)×saving − fixed. Stress = (C−3% gross−10% net sales for PLN/CZK)×1.25 − C + U×1.25×saving − fixed. Capex is year zero; payback only when annual increment &gt;0.</t>
  </si>
  <si>
    <t>Sources</t>
  </si>
  <si>
    <t>All raw inputs, original official URLs, retrieval vintages, hashes, units and periods are in evidence/source_register.csv. Official series are archived snapshots; client data and policies are synthetic.</t>
  </si>
  <si>
    <t>Limits</t>
  </si>
  <si>
    <t>Uplift and savings are assumptions, not causal estimates. No service-time, distance, capacity, tax, financing, working-capital or 2026 demand forecast is supplied.</t>
  </si>
  <si>
    <t>2025 contribution by market</t>
  </si>
  <si>
    <t>EUR after returns known through 31 Jan 2026. Each annual column reconciles exactly to the 12 sale-month rows in Monthly.</t>
  </si>
  <si>
    <t>Country</t>
  </si>
  <si>
    <t>Shipped orders</t>
  </si>
  <si>
    <t>Shipped units</t>
  </si>
  <si>
    <t>Gross sales EUR</t>
  </si>
  <si>
    <t>Refunds EUR</t>
  </si>
  <si>
    <t>Net sales EUR</t>
  </si>
  <si>
    <t>Net COGS EUR</t>
  </si>
  <si>
    <t>Fulfillment EUR</t>
  </si>
  <si>
    <t>Contribution EUR</t>
  </si>
  <si>
    <t>Returned units</t>
  </si>
  <si>
    <t>Margin</t>
  </si>
  <si>
    <t>DEU</t>
  </si>
  <si>
    <t>FRA</t>
  </si>
  <si>
    <t>NLD</t>
  </si>
  <si>
    <t>POL</t>
  </si>
  <si>
    <t>CZE</t>
  </si>
  <si>
    <t>ESP</t>
  </si>
  <si>
    <t>TOTAL</t>
  </si>
  <si>
    <t>Monthly shipment-cohort economics</t>
  </si>
  <si>
    <t>Refunds are assigned to the original sale month, not the return receipt month. EUR values are sums of per-order rounded components.</t>
  </si>
  <si>
    <t>Sale 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</si>
  <si>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</si>
  <si>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</si>
  <si>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</si>
  <si>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</si>
  <si>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</si>
  <si>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</si>
  <si>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</si>
  <si>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</si>
  <si>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</si>
  <si>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</si>
  <si>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</si>
  <si>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</si>
  <si>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ECB 2025 monthly means</t>
  </si>
  <si>
    <t>Arithmetic mean of available published business-day rates. Quote is local currency units per EUR. EUR sales use 1. These are analytical translation rates, not realized transaction FX.</t>
  </si>
  <si>
    <t>Currency</t>
  </si>
  <si>
    <t>Month</t>
  </si>
  <si>
    <t>Local units / EUR</t>
  </si>
  <si>
    <t>Observation days</t>
  </si>
  <si>
    <t>PLN</t>
  </si>
  <si>
    <t>CZK</t>
  </si>
  <si>
    <t>Archived World Bank market context</t>
  </si>
  <si>
    <t>Population = persons; GDP per capita = current US$, not PPP or real income. Snapshot fetched 27 Sep 2026; World Bank response lastupdated 13 Jul 2026. Neither series proves product demand.</t>
  </si>
  <si>
    <t>Year</t>
  </si>
  <si>
    <t>Population persons</t>
  </si>
  <si>
    <t>GDP per capita current US$</t>
  </si>
  <si>
    <t>2022–24 population change</t>
  </si>
  <si>
    <t>Percent</t>
  </si>
  <si>
    <t>Synthetic client hub options</t>
  </si>
  <si>
    <t>Capex is spent in year zero; recurring fixed cost is deducted from annual incremental contribution. Savings are per shipped unit, including uplifted units.</t>
  </si>
  <si>
    <t>Capex EUR</t>
  </si>
  <si>
    <t>FTE</t>
  </si>
  <si>
    <t>Annual fixed EUR</t>
  </si>
  <si>
    <t>Saving EUR/unit</t>
  </si>
  <si>
    <t>All feasible hub configurations</t>
  </si>
  <si>
    <t>All single hubs and capex/FTE-feasible pairs; additive, with no synergy. DEFER is the zero-investment comparator. Payback is simple, undiscounted and blank when annual contribution is nonpositive.</t>
  </si>
  <si>
    <t>Configuration</t>
  </si>
  <si>
    <t>Incremental annual EUR</t>
  </si>
  <si>
    <t>Year-zero capex EUR</t>
  </si>
  <si>
    <t>Payback years</t>
  </si>
  <si>
    <t>low</t>
  </si>
  <si>
    <t>base</t>
  </si>
  <si>
    <t>high</t>
  </si>
  <si>
    <t>stress</t>
  </si>
  <si>
    <t>CZE+ESP</t>
  </si>
  <si>
    <t>DEFER</t>
  </si>
  <si>
    <t>DEU+CZE</t>
  </si>
  <si>
    <t>FRA+CZE</t>
  </si>
  <si>
    <t>FRA+ESP</t>
  </si>
  <si>
    <t>FRA+NLD</t>
  </si>
  <si>
    <t>FRA+POL</t>
  </si>
  <si>
    <t>NLD+CZE</t>
  </si>
  <si>
    <t>NLD+ESP</t>
  </si>
  <si>
    <t>NLD+POL</t>
  </si>
  <si>
    <t>POL+CZE</t>
  </si>
  <si>
    <t>POL+ESP</t>
  </si>
  <si>
    <t>Ranked feasible alternatives</t>
  </si>
  <si>
    <t>Sorted by base annual increment. Stress combines +3% gross-sales refunds with 10% net-sales depreciation for PLN/CZK markets. This is a conservative joint case, not a probability-weighted forecast.</t>
  </si>
  <si>
    <t>Low EUR/yr</t>
  </si>
  <si>
    <t>Base EUR/yr</t>
  </si>
  <si>
    <t>High EUR/yr</t>
  </si>
  <si>
    <t>Stress EUR/yr</t>
  </si>
  <si>
    <t>Base payback yr</t>
  </si>
  <si>
    <t>Reconciliation and exceptions</t>
  </si>
  <si>
    <t>Rows count raw export records, not orders. Quarantined return IDs are not guessed onto orders. Corrected rows replace whole rows.</t>
  </si>
  <si>
    <t>Check</t>
  </si>
  <si>
    <t>Result / handling</t>
  </si>
  <si>
    <t>Raw order rows</t>
  </si>
  <si>
    <t>Distinct order IDs</t>
  </si>
  <si>
    <t>Identical duplicate order rows</t>
  </si>
  <si>
    <t>Superseded order revisions</t>
  </si>
  <si>
    <t>Excluded order: status_cancelled</t>
  </si>
  <si>
    <t>Excluded order: test</t>
  </si>
  <si>
    <t>Excluded order: shipped_outside_2025</t>
  </si>
  <si>
    <t>Eligible 2025 orders</t>
  </si>
  <si>
    <t>Valid zero-price shipments</t>
  </si>
  <si>
    <t>Raw return rows</t>
  </si>
  <si>
    <t>Distinct return IDs</t>
  </si>
  <si>
    <t>Identical duplicate return rows</t>
  </si>
  <si>
    <t>Superseded return revisions</t>
  </si>
  <si>
    <t>Excluded return: after_cutoff</t>
  </si>
  <si>
    <t>Excluded return: orphan_order_id</t>
  </si>
  <si>
    <t>Eligible return IDs</t>
  </si>
  <si>
    <t>Restocked units</t>
  </si>
  <si>
    <t>Missing: raw_order_shipped_at</t>
  </si>
  <si>
    <t>Missing: raw_order_other_fields</t>
  </si>
  <si>
    <t>Missing: raw_return_fields</t>
  </si>
  <si>
    <t>Missing: eligible_order_shipped_at</t>
  </si>
  <si>
    <t>Missing: effective_unit_cost</t>
  </si>
  <si>
    <t>Missing: population</t>
  </si>
  <si>
    <t>Missing: gdp_per_capita_usd</t>
  </si>
  <si>
    <t>Missing-value handling</t>
  </si>
  <si>
    <t>The 24 blank raw shipped_at values belong to cancelled orders and are excluded; no eligible shipment, return field, effective unit cost or archived World Bank value is missing.</t>
  </si>
  <si>
    <t>Reconciliation</t>
  </si>
  <si>
    <t>All 6 country annual metric columns equal sums of their 12 monthly records.</t>
  </si>
  <si>
    <t>Synthetic-pattern caution</t>
  </si>
  <si>
    <t>Exactly 209 eligible orders per market; treat this balanced pattern as synthetic design, not market evidence.</t>
  </si>
  <si>
    <t>Frozen source register</t>
  </si>
  <si>
    <t>Public official series were collected from the source room, which preserves their original URLs and archive vintage. Synthetic client records are separate from public observations.</t>
  </si>
  <si>
    <t>Saved file</t>
  </si>
  <si>
    <t>Status</t>
  </si>
  <si>
    <t>Units</t>
  </si>
  <si>
    <t>Period</t>
  </si>
  <si>
    <t>Room collected UTC</t>
  </si>
  <si>
    <t>Archive retrieved UTC</t>
  </si>
  <si>
    <t>Original public URL</t>
  </si>
  <si>
    <t>SHA-256</t>
  </si>
  <si>
    <t>evidence/raw/index.html</t>
  </si>
  <si>
    <t>metadata</t>
  </si>
  <si>
    <t>Source-room index</t>
  </si>
  <si>
    <t>site index</t>
  </si>
  <si>
    <t>2026-09-27T10:11:02.139564+00:00</t>
  </si>
  <si>
    <t>7e12a215fdfb75f175b36e100b796f2ad908e9986f5d68f2a16eb9c8f0076604</t>
  </si>
  <si>
    <t>evidence/raw/data-dictionary.md</t>
  </si>
  <si>
    <t>synthetic_client</t>
  </si>
  <si>
    <t>Accounting definitions</t>
  </si>
  <si>
    <t>2025 shipments, returns through 2026-01-31</t>
  </si>
  <si>
    <t>2026-09-27T10:11:10.804007+00:00</t>
  </si>
  <si>
    <t>0a1866e9f89b5c6d40ed2ac24599a118223360fa028e61012d1ecd8ac6b6117f</t>
  </si>
  <si>
    <t>evidence/raw/scenario-policy.md</t>
  </si>
  <si>
    <t>Scenario method and stress assumptions</t>
  </si>
  <si>
    <t>annual model</t>
  </si>
  <si>
    <t>2026-09-27T10:11:10.812679+00:00</t>
  </si>
  <si>
    <t>0567e2f884c19c78ea2ab43a97feb1fd31bfa13db429d7d2f4bfb768b481499b</t>
  </si>
  <si>
    <t>evidence/raw/orders-part1.csv</t>
  </si>
  <si>
    <t>order rows; local currency and EUR fulfillment</t>
  </si>
  <si>
    <t>2025-2026</t>
  </si>
  <si>
    <t>2026-09-27T10:11:19.522645+00:00</t>
  </si>
  <si>
    <t>be35dd1504ce473fdbb634ee4ef964b5c0f5846d5ec3e5ef7d0110a4a361d056</t>
  </si>
  <si>
    <t>evidence/raw/orders-part2.csv</t>
  </si>
  <si>
    <t>2026-09-27T10:11:19.529175+00:00</t>
  </si>
  <si>
    <t>43efbae4b8a57832a8936c85c7c253df4e74190dcc5b31298198c8a97bf19509</t>
  </si>
  <si>
    <t>evidence/raw/order-corrections.csv</t>
  </si>
  <si>
    <t>replacement order rows</t>
  </si>
  <si>
    <t>2025</t>
  </si>
  <si>
    <t>2026-09-27T10:11:19.515397+00:00</t>
  </si>
  <si>
    <t>5cbfcbaf15ff4cf875ef8059a1408160758115b0734fe53dbd971d368ec7131d</t>
  </si>
  <si>
    <t>evidence/raw/returns.csv</t>
  </si>
  <si>
    <t>physical units and original-currency refunds</t>
  </si>
  <si>
    <t>received through 2026-02-01</t>
  </si>
  <si>
    <t>2026-09-27T10:11:19.544438+00:00</t>
  </si>
  <si>
    <t>f356d530a9f95cc3e9770e299dbd561cfb55e2dcb02bf6142dcef1e657a6d713</t>
  </si>
  <si>
    <t>evidence/raw/unit-costs.csv</t>
  </si>
  <si>
    <t>EUR per unit, effective-dated</t>
  </si>
  <si>
    <t>2026-09-27T10:11:19.551090+00:00</t>
  </si>
  <si>
    <t>76dce7f58ab3d3eec5af1e50c5af45bf2fdc72d195478b4e17d46a2951342b31</t>
  </si>
  <si>
    <t>evidence/raw/hub-options.csv</t>
  </si>
  <si>
    <t>EUR capex/fixed/savings; FTE</t>
  </si>
  <si>
    <t>2026-09-27T10:11:10.822154+00:00</t>
  </si>
  <si>
    <t>2f508c9bd49c45b9b28621f46cc68cb7ac6fa4f3fc1acabb61a7c4f06dce6006</t>
  </si>
  <si>
    <t>evidence/raw/population.json</t>
  </si>
  <si>
    <t>official_public_snapshot</t>
  </si>
  <si>
    <t>persons</t>
  </si>
  <si>
    <t>2022-2024</t>
  </si>
  <si>
    <t>2026-09-27T10:11:19.536921+00:00</t>
  </si>
  <si>
    <t>2026-09-27T06:36:40.951815+00:00</t>
  </si>
  <si>
    <t>https://api.worldbank.org/v2/country/DEU;FRA;NLD;POL;CZE;ESP/indicator/SP.POP.TOTL?date=2022:2024&amp;format=json&amp;per_page=1000</t>
  </si>
  <si>
    <t>dd4b81e55e236d0ff45efb6ec59d1575cf3792395257ee182953e17d928815b2</t>
  </si>
  <si>
    <t>evidence/raw/gdp-per-capita.json</t>
  </si>
  <si>
    <t>current USD per person</t>
  </si>
  <si>
    <t>2026-09-27T10:11:19.508703+00:00</t>
  </si>
  <si>
    <t>2026-09-27T06:36:40.951986+00:00</t>
  </si>
  <si>
    <t>https://api.worldbank.org/v2/country/DEU;FRA;NLD;POL;CZE;ESP/indicator/NY.GDP.PCAP.CD?date=2022:2024&amp;format=json&amp;per_page=1000</t>
  </si>
  <si>
    <t>df654256a8803415e2e2c5864d1a00966cfd3150c069b1b897101748471524da</t>
  </si>
  <si>
    <t>evidence/raw/ecb-history.zip</t>
  </si>
  <si>
    <t>local currency units per EUR</t>
  </si>
  <si>
    <t>ECB daily historical series; 2025 used</t>
  </si>
  <si>
    <t>2026-09-27T10:11:19.501265+00:00</t>
  </si>
  <si>
    <t>2026-09-27T06:36:40.952057+00:00</t>
  </si>
  <si>
    <t>https://www.ecb.europa.eu/stats/eurofxref/eurofxref-hist.zip</t>
  </si>
  <si>
    <t>dfe9ab070c0679d42a174981e07b240131d2db19d20108a5d0e4653d9f61fc9f</t>
  </si>
  <si>
    <t>evidence/raw/ecb-history.csv</t>
  </si>
  <si>
    <t>2026-09-27T10:11:19.493408+00:00</t>
  </si>
  <si>
    <t>e8136f072d575cb891cb58718fe31602ca2d4feccee67f035106393ed1c4bdbb</t>
  </si>
  <si>
    <t>evidence/raw/source-register.json</t>
  </si>
  <si>
    <t>original URL, archive retrieval and hash</t>
  </si>
  <si>
    <t>archive vintage 2026-09-27</t>
  </si>
  <si>
    <t>2026-09-27T10:11:10.829891+00:00</t>
  </si>
  <si>
    <t>c38ffd64f6303924065e87b305e1cb0a6dd8312633d3eb703fb8492a8b30de3b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</si>
</sst>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0;[Red](#,##0.00)"/>
    <numFmt numFmtId="166" formatCode="0.0%"/>
    <numFmt numFmtId="167" formatCode="0.000000"/>
    <numFmt numFmtId="168" formatCode="0.00"/>
  </numFmts>
  <fonts count="6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sz val="10"/>
      <color rgb="FF53627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1243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243A"/>
        <bgColor indexed="64"/>
      </patternFill>
    </fill>
    <fill>
      <patternFill patternType="solid">
        <fgColor rgb="FF17659A"/>
        <bgColor indexed="64"/>
      </patternFill>
    </fill>
    <fill>
      <patternFill patternType="solid">
        <fgColor rgb="FFEAF3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5" fontId="5" fillId="4" borderId="0" xfId="0" applyNumberFormat="1" applyFont="1" applyFill="1"/>
    <xf numFmtId="167" fontId="4" fillId="0" borderId="0" xfId="0" applyNumberFormat="1" applyFont="1"/>
    <xf numFmtId="168" fontId="4" fillId="0" borderId="0" xfId="0" applyNumberFormat="1" applyFont="1"/>
  </cellXfs>
  <cellStyles count="1">
    <cellStyle name="Normal" xfId="0" builtinId="0"/>
  </cellStyles>
  <dxfs count="1">
    <dxf>
      <font>
        <color rgb="FFB44B50"/>
      </font>
      <fill>
        <patternFill>
          <bgColor rgb="FFFCE9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Contribution by market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2025 contribution</c:v>
          </c:tx>
          <c:spPr>
            <a:solidFill>
              <a:srgbClr val="087E8B"/>
            </a:solidFill>
            <a:ln>
              <a:noFill/>
            </a:ln>
          </c:spPr>
          <c:cat>
            <c:strRef>
              <c:f>Annual!$A$6:$A$11</c:f>
              <c:strCache>
                <c:ptCount val="6"/>
                <c:pt idx="0">
                  <c:v>DEU</c:v>
                </c:pt>
                <c:pt idx="1">
                  <c:v>FRA</c:v>
                </c:pt>
                <c:pt idx="2">
                  <c:v>NLD</c:v>
                </c:pt>
                <c:pt idx="3">
                  <c:v>POL</c:v>
                </c:pt>
                <c:pt idx="4">
                  <c:v>CZE</c:v>
                </c:pt>
                <c:pt idx="5">
                  <c:v>ESP</c:v>
                </c:pt>
              </c:strCache>
            </c:strRef>
          </c:cat>
          <c:val>
            <c:numRef>
              <c:f>Annual!$I$6:$I$11</c:f>
              <c:numCache>
                <c:formatCode>General</c:formatCode>
                <c:ptCount val="6"/>
                <c:pt idx="0">
                  <c:v>262365.56</c:v>
                </c:pt>
                <c:pt idx="1">
                  <c:v>276271.1</c:v>
                </c:pt>
                <c:pt idx="2">
                  <c:v>315644.22</c:v>
                </c:pt>
                <c:pt idx="3">
                  <c:v>356493.88</c:v>
                </c:pt>
                <c:pt idx="4">
                  <c:v>397335.25</c:v>
                </c:pt>
                <c:pt idx="5">
                  <c:v>421900.47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eight: base vs joint stress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Base</c:v>
          </c:tx>
          <c:spPr>
            <a:solidFill>
              <a:srgbClr val="087E8B"/>
            </a:solidFill>
            <a:ln>
              <a:noFill/>
            </a:ln>
          </c:spPr>
          <c:cat>
            <c:strRef>
              <c:f>Decision!$A$6:$A$13</c:f>
              <c:strCache>
                <c:ptCount val="8"/>
                <c:pt idx="0">
                  <c:v>CZE+ESP</c:v>
                </c:pt>
                <c:pt idx="1">
                  <c:v>POL+ESP</c:v>
                </c:pt>
                <c:pt idx="2">
                  <c:v>POL+CZE</c:v>
                </c:pt>
                <c:pt idx="3">
                  <c:v>NLD+ESP</c:v>
                </c:pt>
                <c:pt idx="4">
                  <c:v>NLD+CZE</c:v>
                </c:pt>
                <c:pt idx="5">
                  <c:v>NLD+POL</c:v>
                </c:pt>
                <c:pt idx="6">
                  <c:v>FRA+ESP</c:v>
                </c:pt>
                <c:pt idx="7">
                  <c:v>FRA+CZE</c:v>
                </c:pt>
              </c:strCache>
            </c:strRef>
          </c:cat>
          <c:val>
            <c:numRef>
              <c:f>Decision!$C$6:$C$13</c:f>
              <c:numCache>
                <c:formatCode>General</c:formatCode>
                <c:ptCount val="8"/>
                <c:pt idx="0">
                  <c:v>198099.31</c:v>
                </c:pt>
                <c:pt idx="1">
                  <c:v>186328.84</c:v>
                </c:pt>
                <c:pt idx="2">
                  <c:v>178995.41</c:v>
                </c:pt>
                <c:pt idx="3">
                  <c:v>166931.43</c:v>
                </c:pt>
                <c:pt idx="4">
                  <c:v>159598</c:v>
                </c:pt>
                <c:pt idx="5">
                  <c:v>147827.53</c:v>
                </c:pt>
                <c:pt idx="6">
                  <c:v>129849.15</c:v>
                </c:pt>
                <c:pt idx="7">
                  <c:v>122515.72</c:v>
                </c:pt>
              </c:numCache>
            </c:numRef>
          </c:val>
        </c:ser>
        <c:ser>
          <c:idx val="1"/>
          <c:order val="1"/>
          <c:tx>
            <c:v>Stress</c:v>
          </c:tx>
          <c:spPr>
            <a:solidFill>
              <a:srgbClr val="E3A33D"/>
            </a:solidFill>
            <a:ln>
              <a:noFill/>
            </a:ln>
          </c:spPr>
          <c:cat>
            <c:strRef>
              <c:f>Decision!$A$6:$A$13</c:f>
              <c:strCache>
                <c:ptCount val="8"/>
                <c:pt idx="0">
                  <c:v>CZE+ESP</c:v>
                </c:pt>
                <c:pt idx="1">
                  <c:v>POL+ESP</c:v>
                </c:pt>
                <c:pt idx="2">
                  <c:v>POL+CZE</c:v>
                </c:pt>
                <c:pt idx="3">
                  <c:v>NLD+ESP</c:v>
                </c:pt>
                <c:pt idx="4">
                  <c:v>NLD+CZE</c:v>
                </c:pt>
                <c:pt idx="5">
                  <c:v>NLD+POL</c:v>
                </c:pt>
                <c:pt idx="6">
                  <c:v>FRA+ESP</c:v>
                </c:pt>
                <c:pt idx="7">
                  <c:v>FRA+CZE</c:v>
                </c:pt>
              </c:strCache>
            </c:strRef>
          </c:cat>
          <c:val>
            <c:numRef>
              <c:f>Decision!$E$6:$E$13</c:f>
              <c:numCache>
                <c:formatCode>General</c:formatCode>
                <c:ptCount val="8"/>
                <c:pt idx="0">
                  <c:v>32179.71</c:v>
                </c:pt>
                <c:pt idx="1">
                  <c:v>29263.85</c:v>
                </c:pt>
                <c:pt idx="2">
                  <c:v>-78569.75999999999</c:v>
                </c:pt>
                <c:pt idx="3">
                  <c:v>107630.13</c:v>
                </c:pt>
                <c:pt idx="4">
                  <c:v>-203.48</c:v>
                </c:pt>
                <c:pt idx="5">
                  <c:v>-3119.34</c:v>
                </c:pt>
                <c:pt idx="6">
                  <c:v>73104.56</c:v>
                </c:pt>
                <c:pt idx="7">
                  <c:v>-34729.05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Incremental EUR/year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21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533400</xdr:colOff>
      <xdr:row>23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api.worldbank.org/v2/country/DEU;FRA;NLD;POL;CZE;ESP/indicator/SP.POP.TOTL?date=2022:2024&amp;format=json&amp;per_page=1000" TargetMode="External"/><Relationship Id="rId2" Type="http://schemas.openxmlformats.org/officeDocument/2006/relationships/hyperlink" Target="https://api.worldbank.org/v2/country/DEU;FRA;NLD;POL;CZE;ESP/indicator/NY.GDP.PCAP.CD?date=2022:2024&amp;format=json&amp;per_page=1000" TargetMode="External"/><Relationship Id="rId3" Type="http://schemas.openxmlformats.org/officeDocument/2006/relationships/hyperlink" Target="https://www.ecb.europa.eu/stats/eurofxref/eurofxref-hist.zip" TargetMode="External"/><Relationship Id="rId4" Type="http://schemas.openxmlformats.org/officeDocument/2006/relationships/hyperlink" Target="https://www.ecb.europa.eu/stats/eurofxref/eurofxref-hist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9.7109375" customWidth="1"/>
    <col min="2" max="2" width="115.7109375" customWidth="1"/>
  </cols>
  <sheetData>
    <row r="1" spans="1:3" ht="31" customHeight="1">
      <c r="A1" s="1" t="s">
        <v>0</v>
      </c>
      <c r="B1" s="1"/>
      <c r="C1" s="1"/>
    </row>
    <row r="2" spans="1:3" ht="23" customHeight="1">
      <c r="A2" s="2" t="s">
        <v>1</v>
      </c>
      <c r="B2" s="2"/>
      <c r="C2" s="2"/>
    </row>
    <row r="3" spans="1:3" ht="21" customHeight="1">
      <c r="A3" s="2"/>
      <c r="B3" s="2"/>
      <c r="C3" s="2"/>
    </row>
    <row r="5" spans="1:3" ht="34" customHeight="1">
      <c r="A5" s="3" t="s">
        <v>2</v>
      </c>
      <c r="B5" s="3" t="s">
        <v>3</v>
      </c>
    </row>
    <row r="6" spans="1:3">
      <c r="A6" s="4" t="s">
        <v>4</v>
      </c>
      <c r="B6" s="5" t="s">
        <v>5</v>
      </c>
    </row>
    <row r="7" spans="1:3">
      <c r="A7" s="4" t="s">
        <v>6</v>
      </c>
      <c r="B7" s="5" t="s">
        <v>7</v>
      </c>
    </row>
    <row r="8" spans="1:3">
      <c r="A8" s="4" t="s">
        <v>8</v>
      </c>
      <c r="B8" s="5" t="s">
        <v>9</v>
      </c>
    </row>
    <row r="9" spans="1:3">
      <c r="A9" s="4" t="s">
        <v>10</v>
      </c>
      <c r="B9" s="5" t="s">
        <v>11</v>
      </c>
    </row>
    <row r="10" spans="1:3">
      <c r="A10" s="4" t="s">
        <v>12</v>
      </c>
      <c r="B10" s="5" t="s">
        <v>13</v>
      </c>
    </row>
    <row r="11" spans="1:3">
      <c r="A11" s="4" t="s">
        <v>14</v>
      </c>
      <c r="B11" s="5" t="s">
        <v>15</v>
      </c>
    </row>
    <row r="12" spans="1:3">
      <c r="A12" s="4" t="s">
        <v>16</v>
      </c>
      <c r="B12" s="5" t="s">
        <v>17</v>
      </c>
    </row>
  </sheetData>
  <autoFilter ref="A5:B12"/>
  <mergeCells count="2">
    <mergeCell ref="A1:C1"/>
    <mergeCell ref="A2:C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3" width="15.7109375" customWidth="1"/>
    <col min="4" max="4" width="20.7109375" customWidth="1"/>
    <col min="5" max="5" width="16.7109375" customWidth="1"/>
    <col min="6" max="6" width="19.7109375" customWidth="1"/>
    <col min="7" max="7" width="18.7109375" customWidth="1"/>
    <col min="8" max="8" width="19.7109375" customWidth="1"/>
    <col min="9" max="9" width="21.7109375" customWidth="1"/>
    <col min="10" max="10" width="17.7109375" customWidth="1"/>
    <col min="11" max="11" width="14.7109375" customWidth="1"/>
  </cols>
  <sheetData>
    <row r="1" spans="1:11" ht="31" customHeight="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" customHeight="1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4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</row>
    <row r="6" spans="1:11">
      <c r="A6" s="4" t="s">
        <v>31</v>
      </c>
      <c r="B6" s="6">
        <v>209</v>
      </c>
      <c r="C6" s="6">
        <v>12153</v>
      </c>
      <c r="D6" s="7">
        <v>631244.76</v>
      </c>
      <c r="E6" s="7">
        <v>5453</v>
      </c>
      <c r="F6" s="7">
        <v>625791.76</v>
      </c>
      <c r="G6" s="7">
        <v>349980.5</v>
      </c>
      <c r="H6" s="7">
        <v>13445.7</v>
      </c>
      <c r="I6" s="7">
        <v>262365.56</v>
      </c>
      <c r="J6" s="6">
        <v>73</v>
      </c>
      <c r="K6" s="8">
        <v>0.4192537786052025</v>
      </c>
    </row>
    <row r="7" spans="1:11">
      <c r="A7" s="4" t="s">
        <v>32</v>
      </c>
      <c r="B7" s="6">
        <v>209</v>
      </c>
      <c r="C7" s="6">
        <v>11880</v>
      </c>
      <c r="D7" s="7">
        <v>640929.9399999999</v>
      </c>
      <c r="E7" s="7">
        <v>8699.040000000001</v>
      </c>
      <c r="F7" s="7">
        <v>632230.9</v>
      </c>
      <c r="G7" s="7">
        <v>341453</v>
      </c>
      <c r="H7" s="7">
        <v>14506.8</v>
      </c>
      <c r="I7" s="7">
        <v>276271.1</v>
      </c>
      <c r="J7" s="6">
        <v>144</v>
      </c>
      <c r="K7" s="8">
        <v>0.4369781673119741</v>
      </c>
    </row>
    <row r="8" spans="1:11">
      <c r="A8" s="4" t="s">
        <v>33</v>
      </c>
      <c r="B8" s="6">
        <v>209</v>
      </c>
      <c r="C8" s="6">
        <v>12576</v>
      </c>
      <c r="D8" s="7">
        <v>709108.84</v>
      </c>
      <c r="E8" s="7">
        <v>11376</v>
      </c>
      <c r="F8" s="7">
        <v>697732.84</v>
      </c>
      <c r="G8" s="7">
        <v>365495.5</v>
      </c>
      <c r="H8" s="7">
        <v>16593.12</v>
      </c>
      <c r="I8" s="7">
        <v>315644.22</v>
      </c>
      <c r="J8" s="6">
        <v>144</v>
      </c>
      <c r="K8" s="8">
        <v>0.4523855004445541</v>
      </c>
    </row>
    <row r="9" spans="1:11">
      <c r="A9" s="4" t="s">
        <v>34</v>
      </c>
      <c r="B9" s="6">
        <v>209</v>
      </c>
      <c r="C9" s="6">
        <v>13163</v>
      </c>
      <c r="D9" s="7">
        <v>776507.79</v>
      </c>
      <c r="E9" s="7">
        <v>14617.92</v>
      </c>
      <c r="F9" s="7">
        <v>761889.87</v>
      </c>
      <c r="G9" s="7">
        <v>386697.5</v>
      </c>
      <c r="H9" s="7">
        <v>18698.49</v>
      </c>
      <c r="I9" s="7">
        <v>356493.88</v>
      </c>
      <c r="J9" s="6">
        <v>180</v>
      </c>
      <c r="K9" s="8">
        <v>0.4679073630418528</v>
      </c>
    </row>
    <row r="10" spans="1:11">
      <c r="A10" s="4" t="s">
        <v>35</v>
      </c>
      <c r="B10" s="6">
        <v>209</v>
      </c>
      <c r="C10" s="6">
        <v>13733</v>
      </c>
      <c r="D10" s="7">
        <v>834572.08</v>
      </c>
      <c r="E10" s="7">
        <v>19264.61</v>
      </c>
      <c r="F10" s="7">
        <v>815307.47</v>
      </c>
      <c r="G10" s="7">
        <v>397062</v>
      </c>
      <c r="H10" s="7">
        <v>20910.22</v>
      </c>
      <c r="I10" s="7">
        <v>397335.25</v>
      </c>
      <c r="J10" s="6">
        <v>288</v>
      </c>
      <c r="K10" s="8">
        <v>0.4873440568378455</v>
      </c>
    </row>
    <row r="11" spans="1:11">
      <c r="A11" s="4" t="s">
        <v>36</v>
      </c>
      <c r="B11" s="6">
        <v>209</v>
      </c>
      <c r="C11" s="6">
        <v>13931</v>
      </c>
      <c r="D11" s="7">
        <v>872258.92</v>
      </c>
      <c r="E11" s="7">
        <v>21420</v>
      </c>
      <c r="F11" s="7">
        <v>850838.92</v>
      </c>
      <c r="G11" s="7">
        <v>406230.5</v>
      </c>
      <c r="H11" s="7">
        <v>22707.95</v>
      </c>
      <c r="I11" s="7">
        <v>421900.47</v>
      </c>
      <c r="J11" s="6">
        <v>252</v>
      </c>
      <c r="K11" s="8">
        <v>0.4958640937581934</v>
      </c>
    </row>
    <row r="12" spans="1:11">
      <c r="A12" s="9" t="s">
        <v>37</v>
      </c>
      <c r="B12" s="9">
        <f>SUM(B6:B11)</f>
        <v>1254.0</v>
      </c>
      <c r="C12" s="9">
        <f>SUM(C6:C11)</f>
        <v>77436.0</v>
      </c>
      <c r="D12" s="9">
        <f>SUM(D6:D11)</f>
        <v>4464622.33</v>
      </c>
      <c r="E12" s="9">
        <f>SUM(E6:E11)</f>
        <v>80830.57</v>
      </c>
      <c r="F12" s="9">
        <f>SUM(F6:F11)</f>
        <v>4383791.76</v>
      </c>
      <c r="G12" s="9">
        <f>SUM(G6:G11)</f>
        <v>2246919.0</v>
      </c>
      <c r="H12" s="9">
        <f>SUM(H6:H11)</f>
        <v>106862.28</v>
      </c>
      <c r="I12" s="9">
        <f>SUM(I6:I11)</f>
        <v>2030010.48</v>
      </c>
      <c r="J12" s="9">
        <f>SUM(J6:J11)</f>
        <v>1081.0</v>
      </c>
      <c r="K12" s="8">
        <f>I12/F12</f>
        <v>0.4630718316784281</v>
      </c>
    </row>
  </sheetData>
  <autoFilter ref="A5:K11"/>
  <mergeCells count="2">
    <mergeCell ref="A1:K1"/>
    <mergeCell ref="A2:K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2.7109375" customWidth="1"/>
    <col min="2" max="4" width="14.7109375" customWidth="1"/>
    <col min="5" max="5" width="19.7109375" customWidth="1"/>
    <col min="6" max="6" width="17.7109375" customWidth="1"/>
    <col min="7" max="7" width="19.7109375" customWidth="1"/>
    <col min="8" max="8" width="18.7109375" customWidth="1"/>
    <col min="9" max="9" width="19.7109375" customWidth="1"/>
    <col min="10" max="10" width="21.7109375" customWidth="1"/>
    <col min="11" max="11" width="15.7109375" customWidth="1"/>
    <col min="12" max="12" width="13.7109375" customWidth="1"/>
  </cols>
  <sheetData>
    <row r="1" spans="1:12" ht="31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" customHeight="1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ht="34" customHeight="1">
      <c r="A5" s="3" t="s">
        <v>20</v>
      </c>
      <c r="B5" s="3" t="s">
        <v>40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</row>
    <row r="6" spans="1:12">
      <c r="A6" s="4" t="s">
        <v>31</v>
      </c>
      <c r="B6" s="4" t="s">
        <v>41</v>
      </c>
      <c r="C6" s="6">
        <v>18</v>
      </c>
      <c r="D6" s="6">
        <v>962</v>
      </c>
      <c r="E6" s="7">
        <v>48962.64</v>
      </c>
      <c r="F6" s="7">
        <v>449</v>
      </c>
      <c r="G6" s="7">
        <v>48513.64</v>
      </c>
      <c r="H6" s="7">
        <v>26373</v>
      </c>
      <c r="I6" s="7">
        <v>1081.8</v>
      </c>
      <c r="J6" s="7">
        <v>21058.84</v>
      </c>
      <c r="K6" s="6">
        <v>6</v>
      </c>
      <c r="L6" s="8">
        <v>0.4340808069648041</v>
      </c>
    </row>
    <row r="7" spans="1:12">
      <c r="A7" s="4" t="s">
        <v>31</v>
      </c>
      <c r="B7" s="4" t="s">
        <v>42</v>
      </c>
      <c r="C7" s="6">
        <v>18</v>
      </c>
      <c r="D7" s="6">
        <v>892</v>
      </c>
      <c r="E7" s="7">
        <v>44273.52</v>
      </c>
      <c r="F7" s="7">
        <v>450</v>
      </c>
      <c r="G7" s="7">
        <v>43823.52</v>
      </c>
      <c r="H7" s="7">
        <v>23462.5</v>
      </c>
      <c r="I7" s="7">
        <v>1018.8</v>
      </c>
      <c r="J7" s="7">
        <v>19342.22</v>
      </c>
      <c r="K7" s="6">
        <v>6</v>
      </c>
      <c r="L7" s="8">
        <v>0.4413661887497855</v>
      </c>
    </row>
    <row r="8" spans="1:12">
      <c r="A8" s="4" t="s">
        <v>31</v>
      </c>
      <c r="B8" s="4" t="s">
        <v>43</v>
      </c>
      <c r="C8" s="6">
        <v>17</v>
      </c>
      <c r="D8" s="6">
        <v>864</v>
      </c>
      <c r="E8" s="7">
        <v>39088.56</v>
      </c>
      <c r="F8" s="7">
        <v>450</v>
      </c>
      <c r="G8" s="7">
        <v>38638.56</v>
      </c>
      <c r="H8" s="7">
        <v>22211</v>
      </c>
      <c r="I8" s="7">
        <v>981.6</v>
      </c>
      <c r="J8" s="7">
        <v>15445.96</v>
      </c>
      <c r="K8" s="6">
        <v>6</v>
      </c>
      <c r="L8" s="8">
        <v>0.3997550633356937</v>
      </c>
    </row>
    <row r="9" spans="1:12">
      <c r="A9" s="4" t="s">
        <v>31</v>
      </c>
      <c r="B9" s="4" t="s">
        <v>44</v>
      </c>
      <c r="C9" s="6">
        <v>17</v>
      </c>
      <c r="D9" s="6">
        <v>882</v>
      </c>
      <c r="E9" s="7">
        <v>45414.48</v>
      </c>
      <c r="F9" s="7">
        <v>450</v>
      </c>
      <c r="G9" s="7">
        <v>44964.48</v>
      </c>
      <c r="H9" s="7">
        <v>24142</v>
      </c>
      <c r="I9" s="7">
        <v>997.8</v>
      </c>
      <c r="J9" s="7">
        <v>19824.68</v>
      </c>
      <c r="K9" s="6">
        <v>6</v>
      </c>
      <c r="L9" s="8">
        <v>0.4408964587158575</v>
      </c>
    </row>
    <row r="10" spans="1:12">
      <c r="A10" s="4" t="s">
        <v>31</v>
      </c>
      <c r="B10" s="4" t="s">
        <v>45</v>
      </c>
      <c r="C10" s="6">
        <v>18</v>
      </c>
      <c r="D10" s="6">
        <v>1159</v>
      </c>
      <c r="E10" s="7">
        <v>65858.88</v>
      </c>
      <c r="F10" s="7">
        <v>450</v>
      </c>
      <c r="G10" s="7">
        <v>65408.88</v>
      </c>
      <c r="H10" s="7">
        <v>36475</v>
      </c>
      <c r="I10" s="7">
        <v>1259.1</v>
      </c>
      <c r="J10" s="7">
        <v>27674.78</v>
      </c>
      <c r="K10" s="6">
        <v>6</v>
      </c>
      <c r="L10" s="8">
        <v>0.4231043246727356</v>
      </c>
    </row>
    <row r="11" spans="1:12">
      <c r="A11" s="4" t="s">
        <v>31</v>
      </c>
      <c r="B11" s="4" t="s">
        <v>46</v>
      </c>
      <c r="C11" s="6">
        <v>17</v>
      </c>
      <c r="D11" s="6">
        <v>1046</v>
      </c>
      <c r="E11" s="7">
        <v>51222.9</v>
      </c>
      <c r="F11" s="7">
        <v>450</v>
      </c>
      <c r="G11" s="7">
        <v>50772.9</v>
      </c>
      <c r="H11" s="7">
        <v>27542.5</v>
      </c>
      <c r="I11" s="7">
        <v>1145.4</v>
      </c>
      <c r="J11" s="7">
        <v>22085</v>
      </c>
      <c r="K11" s="6">
        <v>6</v>
      </c>
      <c r="L11" s="8">
        <v>0.4349761388457228</v>
      </c>
    </row>
    <row r="12" spans="1:12">
      <c r="A12" s="4" t="s">
        <v>31</v>
      </c>
      <c r="B12" s="4" t="s">
        <v>47</v>
      </c>
      <c r="C12" s="6">
        <v>18</v>
      </c>
      <c r="D12" s="6">
        <v>1236</v>
      </c>
      <c r="E12" s="7">
        <v>65105.4</v>
      </c>
      <c r="F12" s="7">
        <v>450</v>
      </c>
      <c r="G12" s="7">
        <v>64655.4</v>
      </c>
      <c r="H12" s="7">
        <v>36424.5</v>
      </c>
      <c r="I12" s="7">
        <v>1328.4</v>
      </c>
      <c r="J12" s="7">
        <v>26902.5</v>
      </c>
      <c r="K12" s="6">
        <v>6</v>
      </c>
      <c r="L12" s="8">
        <v>0.4160905353613155</v>
      </c>
    </row>
    <row r="13" spans="1:12">
      <c r="A13" s="4" t="s">
        <v>31</v>
      </c>
      <c r="B13" s="4" t="s">
        <v>48</v>
      </c>
      <c r="C13" s="6">
        <v>17</v>
      </c>
      <c r="D13" s="6">
        <v>1145</v>
      </c>
      <c r="E13" s="7">
        <v>60928.2</v>
      </c>
      <c r="F13" s="7">
        <v>450</v>
      </c>
      <c r="G13" s="7">
        <v>60478.2</v>
      </c>
      <c r="H13" s="7">
        <v>34167.5</v>
      </c>
      <c r="I13" s="7">
        <v>1234.5</v>
      </c>
      <c r="J13" s="7">
        <v>25076.2</v>
      </c>
      <c r="K13" s="6">
        <v>6</v>
      </c>
      <c r="L13" s="8">
        <v>0.4146320492342696</v>
      </c>
    </row>
    <row r="14" spans="1:12">
      <c r="A14" s="4" t="s">
        <v>31</v>
      </c>
      <c r="B14" s="4" t="s">
        <v>49</v>
      </c>
      <c r="C14" s="6">
        <v>17</v>
      </c>
      <c r="D14" s="6">
        <v>1067</v>
      </c>
      <c r="E14" s="7">
        <v>57896.64</v>
      </c>
      <c r="F14" s="7">
        <v>450</v>
      </c>
      <c r="G14" s="7">
        <v>57446.64</v>
      </c>
      <c r="H14" s="7">
        <v>33759.5</v>
      </c>
      <c r="I14" s="7">
        <v>1164.3</v>
      </c>
      <c r="J14" s="7">
        <v>22522.84</v>
      </c>
      <c r="K14" s="6">
        <v>6</v>
      </c>
      <c r="L14" s="8">
        <v>0.3920654019103641</v>
      </c>
    </row>
    <row r="15" spans="1:12">
      <c r="A15" s="4" t="s">
        <v>31</v>
      </c>
      <c r="B15" s="4" t="s">
        <v>50</v>
      </c>
      <c r="C15" s="6">
        <v>18</v>
      </c>
      <c r="D15" s="6">
        <v>1124</v>
      </c>
      <c r="E15" s="7">
        <v>57554.22</v>
      </c>
      <c r="F15" s="7">
        <v>450</v>
      </c>
      <c r="G15" s="7">
        <v>57104.22</v>
      </c>
      <c r="H15" s="7">
        <v>32276</v>
      </c>
      <c r="I15" s="7">
        <v>1227.6</v>
      </c>
      <c r="J15" s="7">
        <v>23600.62</v>
      </c>
      <c r="K15" s="6">
        <v>6</v>
      </c>
      <c r="L15" s="8">
        <v>0.4132902962337985</v>
      </c>
    </row>
    <row r="16" spans="1:12">
      <c r="A16" s="4" t="s">
        <v>31</v>
      </c>
      <c r="B16" s="4" t="s">
        <v>51</v>
      </c>
      <c r="C16" s="6">
        <v>18</v>
      </c>
      <c r="D16" s="6">
        <v>921</v>
      </c>
      <c r="E16" s="7">
        <v>48771.06</v>
      </c>
      <c r="F16" s="7">
        <v>450</v>
      </c>
      <c r="G16" s="7">
        <v>48321.06</v>
      </c>
      <c r="H16" s="7">
        <v>27297</v>
      </c>
      <c r="I16" s="7">
        <v>1044.9</v>
      </c>
      <c r="J16" s="7">
        <v>19979.16</v>
      </c>
      <c r="K16" s="6">
        <v>6</v>
      </c>
      <c r="L16" s="8">
        <v>0.4134669231179945</v>
      </c>
    </row>
    <row r="17" spans="1:12">
      <c r="A17" s="4" t="s">
        <v>31</v>
      </c>
      <c r="B17" s="4" t="s">
        <v>52</v>
      </c>
      <c r="C17" s="6">
        <v>16</v>
      </c>
      <c r="D17" s="6">
        <v>855</v>
      </c>
      <c r="E17" s="7">
        <v>46168.26</v>
      </c>
      <c r="F17" s="7">
        <v>504</v>
      </c>
      <c r="G17" s="7">
        <v>45664.26</v>
      </c>
      <c r="H17" s="7">
        <v>25850</v>
      </c>
      <c r="I17" s="7">
        <v>961.5</v>
      </c>
      <c r="J17" s="7">
        <v>18852.76</v>
      </c>
      <c r="K17" s="6">
        <v>7</v>
      </c>
      <c r="L17" s="8">
        <v>0.4128559183921955</v>
      </c>
    </row>
    <row r="18" spans="1:12">
      <c r="A18" s="4" t="s">
        <v>32</v>
      </c>
      <c r="B18" s="4" t="s">
        <v>41</v>
      </c>
      <c r="C18" s="6">
        <v>18</v>
      </c>
      <c r="D18" s="6">
        <v>916</v>
      </c>
      <c r="E18" s="7">
        <v>51112.88</v>
      </c>
      <c r="F18" s="7">
        <v>724.92</v>
      </c>
      <c r="G18" s="7">
        <v>50387.96</v>
      </c>
      <c r="H18" s="7">
        <v>26508</v>
      </c>
      <c r="I18" s="7">
        <v>1141.16</v>
      </c>
      <c r="J18" s="7">
        <v>22738.8</v>
      </c>
      <c r="K18" s="6">
        <v>12</v>
      </c>
      <c r="L18" s="8">
        <v>0.4512744711236573</v>
      </c>
    </row>
    <row r="19" spans="1:12">
      <c r="A19" s="4" t="s">
        <v>32</v>
      </c>
      <c r="B19" s="4" t="s">
        <v>42</v>
      </c>
      <c r="C19" s="6">
        <v>18</v>
      </c>
      <c r="D19" s="6">
        <v>1023</v>
      </c>
      <c r="E19" s="7">
        <v>55703.76</v>
      </c>
      <c r="F19" s="7">
        <v>724.92</v>
      </c>
      <c r="G19" s="7">
        <v>54978.84</v>
      </c>
      <c r="H19" s="7">
        <v>29141</v>
      </c>
      <c r="I19" s="7">
        <v>1249.23</v>
      </c>
      <c r="J19" s="7">
        <v>24588.61</v>
      </c>
      <c r="K19" s="6">
        <v>12</v>
      </c>
      <c r="L19" s="8">
        <v>0.4472377009045662</v>
      </c>
    </row>
    <row r="20" spans="1:12">
      <c r="A20" s="4" t="s">
        <v>32</v>
      </c>
      <c r="B20" s="4" t="s">
        <v>43</v>
      </c>
      <c r="C20" s="6">
        <v>17</v>
      </c>
      <c r="D20" s="6">
        <v>942</v>
      </c>
      <c r="E20" s="7">
        <v>49158.62</v>
      </c>
      <c r="F20" s="7">
        <v>724.92</v>
      </c>
      <c r="G20" s="7">
        <v>48433.7</v>
      </c>
      <c r="H20" s="7">
        <v>26346.5</v>
      </c>
      <c r="I20" s="7">
        <v>1155.42</v>
      </c>
      <c r="J20" s="7">
        <v>20931.78</v>
      </c>
      <c r="K20" s="6">
        <v>12</v>
      </c>
      <c r="L20" s="8">
        <v>0.4321738789314052</v>
      </c>
    </row>
    <row r="21" spans="1:12">
      <c r="A21" s="4" t="s">
        <v>32</v>
      </c>
      <c r="B21" s="4" t="s">
        <v>44</v>
      </c>
      <c r="C21" s="6">
        <v>17</v>
      </c>
      <c r="D21" s="6">
        <v>1050</v>
      </c>
      <c r="E21" s="7">
        <v>55198.92</v>
      </c>
      <c r="F21" s="7">
        <v>724.92</v>
      </c>
      <c r="G21" s="7">
        <v>54474</v>
      </c>
      <c r="H21" s="7">
        <v>28608</v>
      </c>
      <c r="I21" s="7">
        <v>1264.5</v>
      </c>
      <c r="J21" s="7">
        <v>24601.5</v>
      </c>
      <c r="K21" s="6">
        <v>12</v>
      </c>
      <c r="L21" s="8">
        <v>0.4516191210485737</v>
      </c>
    </row>
    <row r="22" spans="1:12">
      <c r="A22" s="4" t="s">
        <v>32</v>
      </c>
      <c r="B22" s="4" t="s">
        <v>45</v>
      </c>
      <c r="C22" s="6">
        <v>18</v>
      </c>
      <c r="D22" s="6">
        <v>977</v>
      </c>
      <c r="E22" s="7">
        <v>53658.64</v>
      </c>
      <c r="F22" s="7">
        <v>724.92</v>
      </c>
      <c r="G22" s="7">
        <v>52933.72</v>
      </c>
      <c r="H22" s="7">
        <v>27989.5</v>
      </c>
      <c r="I22" s="7">
        <v>1202.77</v>
      </c>
      <c r="J22" s="7">
        <v>23741.45</v>
      </c>
      <c r="K22" s="6">
        <v>12</v>
      </c>
      <c r="L22" s="8">
        <v>0.4485127816446681</v>
      </c>
    </row>
    <row r="23" spans="1:12">
      <c r="A23" s="4" t="s">
        <v>32</v>
      </c>
      <c r="B23" s="4" t="s">
        <v>46</v>
      </c>
      <c r="C23" s="6">
        <v>17</v>
      </c>
      <c r="D23" s="6">
        <v>880</v>
      </c>
      <c r="E23" s="7">
        <v>46500.86</v>
      </c>
      <c r="F23" s="7">
        <v>724.92</v>
      </c>
      <c r="G23" s="7">
        <v>45775.94</v>
      </c>
      <c r="H23" s="7">
        <v>24563.5</v>
      </c>
      <c r="I23" s="7">
        <v>1092.8</v>
      </c>
      <c r="J23" s="7">
        <v>20119.64</v>
      </c>
      <c r="K23" s="6">
        <v>12</v>
      </c>
      <c r="L23" s="8">
        <v>0.4395243440112863</v>
      </c>
    </row>
    <row r="24" spans="1:12">
      <c r="A24" s="4" t="s">
        <v>32</v>
      </c>
      <c r="B24" s="4" t="s">
        <v>47</v>
      </c>
      <c r="C24" s="6">
        <v>18</v>
      </c>
      <c r="D24" s="6">
        <v>947</v>
      </c>
      <c r="E24" s="7">
        <v>49908.46</v>
      </c>
      <c r="F24" s="7">
        <v>724.92</v>
      </c>
      <c r="G24" s="7">
        <v>49183.54</v>
      </c>
      <c r="H24" s="7">
        <v>27047.5</v>
      </c>
      <c r="I24" s="7">
        <v>1172.47</v>
      </c>
      <c r="J24" s="7">
        <v>20963.57</v>
      </c>
      <c r="K24" s="6">
        <v>12</v>
      </c>
      <c r="L24" s="8">
        <v>0.426231418071981</v>
      </c>
    </row>
    <row r="25" spans="1:12">
      <c r="A25" s="4" t="s">
        <v>32</v>
      </c>
      <c r="B25" s="4" t="s">
        <v>48</v>
      </c>
      <c r="C25" s="6">
        <v>17</v>
      </c>
      <c r="D25" s="6">
        <v>989</v>
      </c>
      <c r="E25" s="7">
        <v>55720.84</v>
      </c>
      <c r="F25" s="7">
        <v>724.92</v>
      </c>
      <c r="G25" s="7">
        <v>54995.92</v>
      </c>
      <c r="H25" s="7">
        <v>29950</v>
      </c>
      <c r="I25" s="7">
        <v>1202.89</v>
      </c>
      <c r="J25" s="7">
        <v>23843.03</v>
      </c>
      <c r="K25" s="6">
        <v>12</v>
      </c>
      <c r="L25" s="8">
        <v>0.4335417972824166</v>
      </c>
    </row>
    <row r="26" spans="1:12">
      <c r="A26" s="4" t="s">
        <v>32</v>
      </c>
      <c r="B26" s="4" t="s">
        <v>49</v>
      </c>
      <c r="C26" s="6">
        <v>17</v>
      </c>
      <c r="D26" s="6">
        <v>838</v>
      </c>
      <c r="E26" s="7">
        <v>44859.22</v>
      </c>
      <c r="F26" s="7">
        <v>724.92</v>
      </c>
      <c r="G26" s="7">
        <v>44134.3</v>
      </c>
      <c r="H26" s="7">
        <v>24517.5</v>
      </c>
      <c r="I26" s="7">
        <v>1050.38</v>
      </c>
      <c r="J26" s="7">
        <v>18566.42</v>
      </c>
      <c r="K26" s="6">
        <v>12</v>
      </c>
      <c r="L26" s="8">
        <v>0.420680060633113</v>
      </c>
    </row>
    <row r="27" spans="1:12">
      <c r="A27" s="4" t="s">
        <v>32</v>
      </c>
      <c r="B27" s="4" t="s">
        <v>50</v>
      </c>
      <c r="C27" s="6">
        <v>18</v>
      </c>
      <c r="D27" s="6">
        <v>1163</v>
      </c>
      <c r="E27" s="7">
        <v>64158.64</v>
      </c>
      <c r="F27" s="7">
        <v>724.92</v>
      </c>
      <c r="G27" s="7">
        <v>63433.72</v>
      </c>
      <c r="H27" s="7">
        <v>34571.5</v>
      </c>
      <c r="I27" s="7">
        <v>1390.63</v>
      </c>
      <c r="J27" s="7">
        <v>27471.59</v>
      </c>
      <c r="K27" s="6">
        <v>12</v>
      </c>
      <c r="L27" s="8">
        <v>0.4330754999076201</v>
      </c>
    </row>
    <row r="28" spans="1:12">
      <c r="A28" s="4" t="s">
        <v>32</v>
      </c>
      <c r="B28" s="4" t="s">
        <v>51</v>
      </c>
      <c r="C28" s="6">
        <v>18</v>
      </c>
      <c r="D28" s="6">
        <v>1162</v>
      </c>
      <c r="E28" s="7">
        <v>62804</v>
      </c>
      <c r="F28" s="7">
        <v>724.92</v>
      </c>
      <c r="G28" s="7">
        <v>62079.08</v>
      </c>
      <c r="H28" s="7">
        <v>33883.5</v>
      </c>
      <c r="I28" s="7">
        <v>1389.62</v>
      </c>
      <c r="J28" s="7">
        <v>26805.96</v>
      </c>
      <c r="K28" s="6">
        <v>12</v>
      </c>
      <c r="L28" s="8">
        <v>0.4318034352313211</v>
      </c>
    </row>
    <row r="29" spans="1:12">
      <c r="A29" s="4" t="s">
        <v>32</v>
      </c>
      <c r="B29" s="4" t="s">
        <v>52</v>
      </c>
      <c r="C29" s="6">
        <v>16</v>
      </c>
      <c r="D29" s="6">
        <v>993</v>
      </c>
      <c r="E29" s="7">
        <v>52145.1</v>
      </c>
      <c r="F29" s="7">
        <v>724.92</v>
      </c>
      <c r="G29" s="7">
        <v>51420.18</v>
      </c>
      <c r="H29" s="7">
        <v>28326.5</v>
      </c>
      <c r="I29" s="7">
        <v>1194.93</v>
      </c>
      <c r="J29" s="7">
        <v>21898.75</v>
      </c>
      <c r="K29" s="6">
        <v>12</v>
      </c>
      <c r="L29" s="8">
        <v>0.4258785169557944</v>
      </c>
    </row>
    <row r="30" spans="1:12">
      <c r="A30" s="4" t="s">
        <v>33</v>
      </c>
      <c r="B30" s="4" t="s">
        <v>41</v>
      </c>
      <c r="C30" s="6">
        <v>18</v>
      </c>
      <c r="D30" s="6">
        <v>1138</v>
      </c>
      <c r="E30" s="7">
        <v>63010.54</v>
      </c>
      <c r="F30" s="7">
        <v>948</v>
      </c>
      <c r="G30" s="7">
        <v>62062.54</v>
      </c>
      <c r="H30" s="7">
        <v>31351</v>
      </c>
      <c r="I30" s="7">
        <v>1490.56</v>
      </c>
      <c r="J30" s="7">
        <v>29220.98</v>
      </c>
      <c r="K30" s="6">
        <v>12</v>
      </c>
      <c r="L30" s="8">
        <v>0.4708311970473654</v>
      </c>
    </row>
    <row r="31" spans="1:12">
      <c r="A31" s="4" t="s">
        <v>33</v>
      </c>
      <c r="B31" s="4" t="s">
        <v>42</v>
      </c>
      <c r="C31" s="6">
        <v>18</v>
      </c>
      <c r="D31" s="6">
        <v>1107</v>
      </c>
      <c r="E31" s="7">
        <v>63270.6</v>
      </c>
      <c r="F31" s="7">
        <v>948</v>
      </c>
      <c r="G31" s="7">
        <v>62322.6</v>
      </c>
      <c r="H31" s="7">
        <v>32243</v>
      </c>
      <c r="I31" s="7">
        <v>1455.84</v>
      </c>
      <c r="J31" s="7">
        <v>28623.76</v>
      </c>
      <c r="K31" s="6">
        <v>12</v>
      </c>
      <c r="L31" s="8">
        <v>0.4592837911126943</v>
      </c>
    </row>
    <row r="32" spans="1:12">
      <c r="A32" s="4" t="s">
        <v>33</v>
      </c>
      <c r="B32" s="4" t="s">
        <v>43</v>
      </c>
      <c r="C32" s="6">
        <v>17</v>
      </c>
      <c r="D32" s="6">
        <v>922</v>
      </c>
      <c r="E32" s="7">
        <v>53048.72</v>
      </c>
      <c r="F32" s="7">
        <v>948</v>
      </c>
      <c r="G32" s="7">
        <v>52100.72</v>
      </c>
      <c r="H32" s="7">
        <v>27348.5</v>
      </c>
      <c r="I32" s="7">
        <v>1236.64</v>
      </c>
      <c r="J32" s="7">
        <v>23515.58</v>
      </c>
      <c r="K32" s="6">
        <v>12</v>
      </c>
      <c r="L32" s="8">
        <v>0.4513484650500031</v>
      </c>
    </row>
    <row r="33" spans="1:12">
      <c r="A33" s="4" t="s">
        <v>33</v>
      </c>
      <c r="B33" s="4" t="s">
        <v>44</v>
      </c>
      <c r="C33" s="6">
        <v>17</v>
      </c>
      <c r="D33" s="6">
        <v>875</v>
      </c>
      <c r="E33" s="7">
        <v>50064.5</v>
      </c>
      <c r="F33" s="7">
        <v>948</v>
      </c>
      <c r="G33" s="7">
        <v>49116.5</v>
      </c>
      <c r="H33" s="7">
        <v>25184</v>
      </c>
      <c r="I33" s="7">
        <v>1184</v>
      </c>
      <c r="J33" s="7">
        <v>22748.5</v>
      </c>
      <c r="K33" s="6">
        <v>12</v>
      </c>
      <c r="L33" s="8">
        <v>0.4631539299420765</v>
      </c>
    </row>
    <row r="34" spans="1:12">
      <c r="A34" s="4" t="s">
        <v>33</v>
      </c>
      <c r="B34" s="4" t="s">
        <v>45</v>
      </c>
      <c r="C34" s="6">
        <v>18</v>
      </c>
      <c r="D34" s="6">
        <v>1043</v>
      </c>
      <c r="E34" s="7">
        <v>59402.18</v>
      </c>
      <c r="F34" s="7">
        <v>948</v>
      </c>
      <c r="G34" s="7">
        <v>58454.18</v>
      </c>
      <c r="H34" s="7">
        <v>29892</v>
      </c>
      <c r="I34" s="7">
        <v>1384.16</v>
      </c>
      <c r="J34" s="7">
        <v>27178.02</v>
      </c>
      <c r="K34" s="6">
        <v>12</v>
      </c>
      <c r="L34" s="8">
        <v>0.46494570619244</v>
      </c>
    </row>
    <row r="35" spans="1:12">
      <c r="A35" s="4" t="s">
        <v>33</v>
      </c>
      <c r="B35" s="4" t="s">
        <v>46</v>
      </c>
      <c r="C35" s="6">
        <v>17</v>
      </c>
      <c r="D35" s="6">
        <v>1145</v>
      </c>
      <c r="E35" s="7">
        <v>63045.5</v>
      </c>
      <c r="F35" s="7">
        <v>948</v>
      </c>
      <c r="G35" s="7">
        <v>62097.5</v>
      </c>
      <c r="H35" s="7">
        <v>31694</v>
      </c>
      <c r="I35" s="7">
        <v>1486.4</v>
      </c>
      <c r="J35" s="7">
        <v>28917.1</v>
      </c>
      <c r="K35" s="6">
        <v>12</v>
      </c>
      <c r="L35" s="8">
        <v>0.4656725311002858</v>
      </c>
    </row>
    <row r="36" spans="1:12">
      <c r="A36" s="4" t="s">
        <v>33</v>
      </c>
      <c r="B36" s="4" t="s">
        <v>47</v>
      </c>
      <c r="C36" s="6">
        <v>18</v>
      </c>
      <c r="D36" s="6">
        <v>1309</v>
      </c>
      <c r="E36" s="7">
        <v>74804.2</v>
      </c>
      <c r="F36" s="7">
        <v>948</v>
      </c>
      <c r="G36" s="7">
        <v>73856.2</v>
      </c>
      <c r="H36" s="7">
        <v>39217</v>
      </c>
      <c r="I36" s="7">
        <v>1682.08</v>
      </c>
      <c r="J36" s="7">
        <v>32957.12</v>
      </c>
      <c r="K36" s="6">
        <v>12</v>
      </c>
      <c r="L36" s="8">
        <v>0.446233626966998</v>
      </c>
    </row>
    <row r="37" spans="1:12">
      <c r="A37" s="4" t="s">
        <v>33</v>
      </c>
      <c r="B37" s="4" t="s">
        <v>48</v>
      </c>
      <c r="C37" s="6">
        <v>17</v>
      </c>
      <c r="D37" s="6">
        <v>938</v>
      </c>
      <c r="E37" s="7">
        <v>47562.56</v>
      </c>
      <c r="F37" s="7">
        <v>948</v>
      </c>
      <c r="G37" s="7">
        <v>46614.56</v>
      </c>
      <c r="H37" s="7">
        <v>24609.5</v>
      </c>
      <c r="I37" s="7">
        <v>1254.56</v>
      </c>
      <c r="J37" s="7">
        <v>20750.5</v>
      </c>
      <c r="K37" s="6">
        <v>12</v>
      </c>
      <c r="L37" s="8">
        <v>0.445150613885447</v>
      </c>
    </row>
    <row r="38" spans="1:12">
      <c r="A38" s="4" t="s">
        <v>33</v>
      </c>
      <c r="B38" s="4" t="s">
        <v>49</v>
      </c>
      <c r="C38" s="6">
        <v>17</v>
      </c>
      <c r="D38" s="6">
        <v>1106</v>
      </c>
      <c r="E38" s="7">
        <v>61093.16</v>
      </c>
      <c r="F38" s="7">
        <v>948</v>
      </c>
      <c r="G38" s="7">
        <v>60145.16</v>
      </c>
      <c r="H38" s="7">
        <v>33506</v>
      </c>
      <c r="I38" s="7">
        <v>1442.72</v>
      </c>
      <c r="J38" s="7">
        <v>25196.44</v>
      </c>
      <c r="K38" s="6">
        <v>12</v>
      </c>
      <c r="L38" s="8">
        <v>0.4189271422671417</v>
      </c>
    </row>
    <row r="39" spans="1:12">
      <c r="A39" s="4" t="s">
        <v>33</v>
      </c>
      <c r="B39" s="4" t="s">
        <v>50</v>
      </c>
      <c r="C39" s="6">
        <v>18</v>
      </c>
      <c r="D39" s="6">
        <v>1098</v>
      </c>
      <c r="E39" s="7">
        <v>65305.26</v>
      </c>
      <c r="F39" s="7">
        <v>948</v>
      </c>
      <c r="G39" s="7">
        <v>64357.26</v>
      </c>
      <c r="H39" s="7">
        <v>33819</v>
      </c>
      <c r="I39" s="7">
        <v>1445.76</v>
      </c>
      <c r="J39" s="7">
        <v>29092.5</v>
      </c>
      <c r="K39" s="6">
        <v>12</v>
      </c>
      <c r="L39" s="8">
        <v>0.4520469019346069</v>
      </c>
    </row>
    <row r="40" spans="1:12">
      <c r="A40" s="4" t="s">
        <v>33</v>
      </c>
      <c r="B40" s="4" t="s">
        <v>51</v>
      </c>
      <c r="C40" s="6">
        <v>18</v>
      </c>
      <c r="D40" s="6">
        <v>1046</v>
      </c>
      <c r="E40" s="7">
        <v>61670.96</v>
      </c>
      <c r="F40" s="7">
        <v>948</v>
      </c>
      <c r="G40" s="7">
        <v>60722.96</v>
      </c>
      <c r="H40" s="7">
        <v>32333</v>
      </c>
      <c r="I40" s="7">
        <v>1387.52</v>
      </c>
      <c r="J40" s="7">
        <v>27002.44</v>
      </c>
      <c r="K40" s="6">
        <v>12</v>
      </c>
      <c r="L40" s="8">
        <v>0.4446825385323772</v>
      </c>
    </row>
    <row r="41" spans="1:12">
      <c r="A41" s="4" t="s">
        <v>33</v>
      </c>
      <c r="B41" s="4" t="s">
        <v>52</v>
      </c>
      <c r="C41" s="6">
        <v>16</v>
      </c>
      <c r="D41" s="6">
        <v>849</v>
      </c>
      <c r="E41" s="7">
        <v>46830.66</v>
      </c>
      <c r="F41" s="7">
        <v>948</v>
      </c>
      <c r="G41" s="7">
        <v>45882.66</v>
      </c>
      <c r="H41" s="7">
        <v>24298.5</v>
      </c>
      <c r="I41" s="7">
        <v>1142.88</v>
      </c>
      <c r="J41" s="7">
        <v>20441.28</v>
      </c>
      <c r="K41" s="6">
        <v>12</v>
      </c>
      <c r="L41" s="8">
        <v>0.4455120954190537</v>
      </c>
    </row>
    <row r="42" spans="1:12">
      <c r="A42" s="4" t="s">
        <v>34</v>
      </c>
      <c r="B42" s="4" t="s">
        <v>41</v>
      </c>
      <c r="C42" s="6">
        <v>18</v>
      </c>
      <c r="D42" s="6">
        <v>1253</v>
      </c>
      <c r="E42" s="7">
        <v>76064.7</v>
      </c>
      <c r="F42" s="7">
        <v>1215.96</v>
      </c>
      <c r="G42" s="7">
        <v>74848.74000000001</v>
      </c>
      <c r="H42" s="7">
        <v>37023</v>
      </c>
      <c r="I42" s="7">
        <v>1757.19</v>
      </c>
      <c r="J42" s="7">
        <v>36068.55</v>
      </c>
      <c r="K42" s="6">
        <v>15</v>
      </c>
      <c r="L42" s="8">
        <v>0.4818858674174074</v>
      </c>
    </row>
    <row r="43" spans="1:12">
      <c r="A43" s="4" t="s">
        <v>34</v>
      </c>
      <c r="B43" s="4" t="s">
        <v>42</v>
      </c>
      <c r="C43" s="6">
        <v>18</v>
      </c>
      <c r="D43" s="6">
        <v>1094</v>
      </c>
      <c r="E43" s="7">
        <v>67048.8</v>
      </c>
      <c r="F43" s="7">
        <v>1237.65</v>
      </c>
      <c r="G43" s="7">
        <v>65811.14999999999</v>
      </c>
      <c r="H43" s="7">
        <v>32346</v>
      </c>
      <c r="I43" s="7">
        <v>1561.62</v>
      </c>
      <c r="J43" s="7">
        <v>31903.53</v>
      </c>
      <c r="K43" s="6">
        <v>15</v>
      </c>
      <c r="L43" s="8">
        <v>0.4847739326846591</v>
      </c>
    </row>
    <row r="44" spans="1:12">
      <c r="A44" s="4" t="s">
        <v>34</v>
      </c>
      <c r="B44" s="4" t="s">
        <v>43</v>
      </c>
      <c r="C44" s="6">
        <v>17</v>
      </c>
      <c r="D44" s="6">
        <v>1084</v>
      </c>
      <c r="E44" s="7">
        <v>63110.08</v>
      </c>
      <c r="F44" s="7">
        <v>1234.74</v>
      </c>
      <c r="G44" s="7">
        <v>61875.34</v>
      </c>
      <c r="H44" s="7">
        <v>31711</v>
      </c>
      <c r="I44" s="7">
        <v>1537.32</v>
      </c>
      <c r="J44" s="7">
        <v>28627.02</v>
      </c>
      <c r="K44" s="6">
        <v>15</v>
      </c>
      <c r="L44" s="8">
        <v>0.4626563668175399</v>
      </c>
    </row>
    <row r="45" spans="1:12">
      <c r="A45" s="4" t="s">
        <v>34</v>
      </c>
      <c r="B45" s="4" t="s">
        <v>44</v>
      </c>
      <c r="C45" s="6">
        <v>17</v>
      </c>
      <c r="D45" s="6">
        <v>1107</v>
      </c>
      <c r="E45" s="7">
        <v>60875.13</v>
      </c>
      <c r="F45" s="7">
        <v>1210.65</v>
      </c>
      <c r="G45" s="7">
        <v>59664.48</v>
      </c>
      <c r="H45" s="7">
        <v>29198.5</v>
      </c>
      <c r="I45" s="7">
        <v>1565.61</v>
      </c>
      <c r="J45" s="7">
        <v>28900.37</v>
      </c>
      <c r="K45" s="6">
        <v>15</v>
      </c>
      <c r="L45" s="8">
        <v>0.4843814946514241</v>
      </c>
    </row>
    <row r="46" spans="1:12">
      <c r="A46" s="4" t="s">
        <v>34</v>
      </c>
      <c r="B46" s="4" t="s">
        <v>45</v>
      </c>
      <c r="C46" s="6">
        <v>18</v>
      </c>
      <c r="D46" s="6">
        <v>1179</v>
      </c>
      <c r="E46" s="7">
        <v>69680.8</v>
      </c>
      <c r="F46" s="7">
        <v>1213.92</v>
      </c>
      <c r="G46" s="7">
        <v>68466.88</v>
      </c>
      <c r="H46" s="7">
        <v>34260</v>
      </c>
      <c r="I46" s="7">
        <v>1666.17</v>
      </c>
      <c r="J46" s="7">
        <v>32540.71</v>
      </c>
      <c r="K46" s="6">
        <v>15</v>
      </c>
      <c r="L46" s="8">
        <v>0.4752766593132329</v>
      </c>
    </row>
    <row r="47" spans="1:12">
      <c r="A47" s="4" t="s">
        <v>34</v>
      </c>
      <c r="B47" s="4" t="s">
        <v>46</v>
      </c>
      <c r="C47" s="6">
        <v>17</v>
      </c>
      <c r="D47" s="6">
        <v>996</v>
      </c>
      <c r="E47" s="7">
        <v>59248.42</v>
      </c>
      <c r="F47" s="7">
        <v>1210.5</v>
      </c>
      <c r="G47" s="7">
        <v>58037.92</v>
      </c>
      <c r="H47" s="7">
        <v>29025</v>
      </c>
      <c r="I47" s="7">
        <v>1429.08</v>
      </c>
      <c r="J47" s="7">
        <v>27583.84</v>
      </c>
      <c r="K47" s="6">
        <v>15</v>
      </c>
      <c r="L47" s="8">
        <v>0.4752727182504128</v>
      </c>
    </row>
    <row r="48" spans="1:12">
      <c r="A48" s="4" t="s">
        <v>34</v>
      </c>
      <c r="B48" s="4" t="s">
        <v>47</v>
      </c>
      <c r="C48" s="6">
        <v>18</v>
      </c>
      <c r="D48" s="6">
        <v>1047</v>
      </c>
      <c r="E48" s="7">
        <v>62049.71</v>
      </c>
      <c r="F48" s="7">
        <v>1213.83</v>
      </c>
      <c r="G48" s="7">
        <v>60835.88</v>
      </c>
      <c r="H48" s="7">
        <v>31167</v>
      </c>
      <c r="I48" s="7">
        <v>1503.81</v>
      </c>
      <c r="J48" s="7">
        <v>28165.07</v>
      </c>
      <c r="K48" s="6">
        <v>15</v>
      </c>
      <c r="L48" s="8">
        <v>0.4629680708161039</v>
      </c>
    </row>
    <row r="49" spans="1:12">
      <c r="A49" s="4" t="s">
        <v>34</v>
      </c>
      <c r="B49" s="4" t="s">
        <v>48</v>
      </c>
      <c r="C49" s="6">
        <v>17</v>
      </c>
      <c r="D49" s="6">
        <v>1171</v>
      </c>
      <c r="E49" s="7">
        <v>68449.27</v>
      </c>
      <c r="F49" s="7">
        <v>1211.79</v>
      </c>
      <c r="G49" s="7">
        <v>67237.48</v>
      </c>
      <c r="H49" s="7">
        <v>34588</v>
      </c>
      <c r="I49" s="7">
        <v>1644.33</v>
      </c>
      <c r="J49" s="7">
        <v>31005.15</v>
      </c>
      <c r="K49" s="6">
        <v>15</v>
      </c>
      <c r="L49" s="8">
        <v>0.461128971520051</v>
      </c>
    </row>
    <row r="50" spans="1:12">
      <c r="A50" s="4" t="s">
        <v>34</v>
      </c>
      <c r="B50" s="4" t="s">
        <v>49</v>
      </c>
      <c r="C50" s="6">
        <v>17</v>
      </c>
      <c r="D50" s="6">
        <v>925</v>
      </c>
      <c r="E50" s="7">
        <v>49915.4</v>
      </c>
      <c r="F50" s="7">
        <v>1212.45</v>
      </c>
      <c r="G50" s="7">
        <v>48702.95</v>
      </c>
      <c r="H50" s="7">
        <v>26840.5</v>
      </c>
      <c r="I50" s="7">
        <v>1341.75</v>
      </c>
      <c r="J50" s="7">
        <v>20520.7</v>
      </c>
      <c r="K50" s="6">
        <v>15</v>
      </c>
      <c r="L50" s="8">
        <v>0.4213440869598248</v>
      </c>
    </row>
    <row r="51" spans="1:12">
      <c r="A51" s="4" t="s">
        <v>34</v>
      </c>
      <c r="B51" s="4" t="s">
        <v>50</v>
      </c>
      <c r="C51" s="6">
        <v>18</v>
      </c>
      <c r="D51" s="6">
        <v>1184</v>
      </c>
      <c r="E51" s="7">
        <v>69915.22</v>
      </c>
      <c r="F51" s="7">
        <v>1215.36</v>
      </c>
      <c r="G51" s="7">
        <v>68699.86</v>
      </c>
      <c r="H51" s="7">
        <v>35037.5</v>
      </c>
      <c r="I51" s="7">
        <v>1672.32</v>
      </c>
      <c r="J51" s="7">
        <v>31990.04</v>
      </c>
      <c r="K51" s="6">
        <v>15</v>
      </c>
      <c r="L51" s="8">
        <v>0.4656492749766885</v>
      </c>
    </row>
    <row r="52" spans="1:12">
      <c r="A52" s="4" t="s">
        <v>34</v>
      </c>
      <c r="B52" s="4" t="s">
        <v>51</v>
      </c>
      <c r="C52" s="6">
        <v>18</v>
      </c>
      <c r="D52" s="6">
        <v>1081</v>
      </c>
      <c r="E52" s="7">
        <v>65560.87</v>
      </c>
      <c r="F52" s="7">
        <v>1218.54</v>
      </c>
      <c r="G52" s="7">
        <v>64342.33</v>
      </c>
      <c r="H52" s="7">
        <v>33154</v>
      </c>
      <c r="I52" s="7">
        <v>1545.63</v>
      </c>
      <c r="J52" s="7">
        <v>29642.7</v>
      </c>
      <c r="K52" s="6">
        <v>15</v>
      </c>
      <c r="L52" s="8">
        <v>0.4607029307145079</v>
      </c>
    </row>
    <row r="53" spans="1:12">
      <c r="A53" s="4" t="s">
        <v>34</v>
      </c>
      <c r="B53" s="4" t="s">
        <v>52</v>
      </c>
      <c r="C53" s="6">
        <v>16</v>
      </c>
      <c r="D53" s="6">
        <v>1042</v>
      </c>
      <c r="E53" s="7">
        <v>64589.39</v>
      </c>
      <c r="F53" s="7">
        <v>1222.53</v>
      </c>
      <c r="G53" s="7">
        <v>63366.86</v>
      </c>
      <c r="H53" s="7">
        <v>32347</v>
      </c>
      <c r="I53" s="7">
        <v>1473.66</v>
      </c>
      <c r="J53" s="7">
        <v>29546.2</v>
      </c>
      <c r="K53" s="6">
        <v>15</v>
      </c>
      <c r="L53" s="8">
        <v>0.4662721176337284</v>
      </c>
    </row>
    <row r="54" spans="1:12">
      <c r="A54" s="4" t="s">
        <v>35</v>
      </c>
      <c r="B54" s="4" t="s">
        <v>41</v>
      </c>
      <c r="C54" s="6">
        <v>18</v>
      </c>
      <c r="D54" s="6">
        <v>1275</v>
      </c>
      <c r="E54" s="7">
        <v>80923.92</v>
      </c>
      <c r="F54" s="7">
        <v>1575.03</v>
      </c>
      <c r="G54" s="7">
        <v>79348.89</v>
      </c>
      <c r="H54" s="7">
        <v>38637.5</v>
      </c>
      <c r="I54" s="7">
        <v>1924.5</v>
      </c>
      <c r="J54" s="7">
        <v>38786.89</v>
      </c>
      <c r="K54" s="6">
        <v>24</v>
      </c>
      <c r="L54" s="8">
        <v>0.4888145253197619</v>
      </c>
    </row>
    <row r="55" spans="1:12">
      <c r="A55" s="4" t="s">
        <v>35</v>
      </c>
      <c r="B55" s="4" t="s">
        <v>42</v>
      </c>
      <c r="C55" s="6">
        <v>18</v>
      </c>
      <c r="D55" s="6">
        <v>1150</v>
      </c>
      <c r="E55" s="7">
        <v>68815.72</v>
      </c>
      <c r="F55" s="7">
        <v>1580.47</v>
      </c>
      <c r="G55" s="7">
        <v>67235.25</v>
      </c>
      <c r="H55" s="7">
        <v>32466.5</v>
      </c>
      <c r="I55" s="7">
        <v>1757</v>
      </c>
      <c r="J55" s="7">
        <v>33011.75</v>
      </c>
      <c r="K55" s="6">
        <v>24</v>
      </c>
      <c r="L55" s="8">
        <v>0.4909887298701202</v>
      </c>
    </row>
    <row r="56" spans="1:12">
      <c r="A56" s="4" t="s">
        <v>35</v>
      </c>
      <c r="B56" s="4" t="s">
        <v>43</v>
      </c>
      <c r="C56" s="6">
        <v>17</v>
      </c>
      <c r="D56" s="6">
        <v>1203</v>
      </c>
      <c r="E56" s="7">
        <v>69678.77</v>
      </c>
      <c r="F56" s="7">
        <v>1585.22</v>
      </c>
      <c r="G56" s="7">
        <v>68093.55</v>
      </c>
      <c r="H56" s="7">
        <v>33971</v>
      </c>
      <c r="I56" s="7">
        <v>1816.02</v>
      </c>
      <c r="J56" s="7">
        <v>32306.53</v>
      </c>
      <c r="K56" s="6">
        <v>24</v>
      </c>
      <c r="L56" s="8">
        <v>0.4744433209900203</v>
      </c>
    </row>
    <row r="57" spans="1:12">
      <c r="A57" s="4" t="s">
        <v>35</v>
      </c>
      <c r="B57" s="4" t="s">
        <v>44</v>
      </c>
      <c r="C57" s="6">
        <v>17</v>
      </c>
      <c r="D57" s="6">
        <v>968</v>
      </c>
      <c r="E57" s="7">
        <v>54976.29</v>
      </c>
      <c r="F57" s="7">
        <v>1582.85</v>
      </c>
      <c r="G57" s="7">
        <v>53393.44</v>
      </c>
      <c r="H57" s="7">
        <v>25378.5</v>
      </c>
      <c r="I57" s="7">
        <v>1501.12</v>
      </c>
      <c r="J57" s="7">
        <v>26513.82</v>
      </c>
      <c r="K57" s="6">
        <v>24</v>
      </c>
      <c r="L57" s="8">
        <v>0.4965744855547798</v>
      </c>
    </row>
    <row r="58" spans="1:12">
      <c r="A58" s="4" t="s">
        <v>35</v>
      </c>
      <c r="B58" s="4" t="s">
        <v>45</v>
      </c>
      <c r="C58" s="6">
        <v>18</v>
      </c>
      <c r="D58" s="6">
        <v>1167</v>
      </c>
      <c r="E58" s="7">
        <v>74278.85000000001</v>
      </c>
      <c r="F58" s="7">
        <v>1590.21</v>
      </c>
      <c r="G58" s="7">
        <v>72688.64</v>
      </c>
      <c r="H58" s="7">
        <v>34927</v>
      </c>
      <c r="I58" s="7">
        <v>1779.78</v>
      </c>
      <c r="J58" s="7">
        <v>35981.86</v>
      </c>
      <c r="K58" s="6">
        <v>24</v>
      </c>
      <c r="L58" s="8">
        <v>0.4950135261851095</v>
      </c>
    </row>
    <row r="59" spans="1:12">
      <c r="A59" s="4" t="s">
        <v>35</v>
      </c>
      <c r="B59" s="4" t="s">
        <v>46</v>
      </c>
      <c r="C59" s="6">
        <v>17</v>
      </c>
      <c r="D59" s="6">
        <v>1087</v>
      </c>
      <c r="E59" s="7">
        <v>62183.71</v>
      </c>
      <c r="F59" s="7">
        <v>1597.82</v>
      </c>
      <c r="G59" s="7">
        <v>60585.89</v>
      </c>
      <c r="H59" s="7">
        <v>28600</v>
      </c>
      <c r="I59" s="7">
        <v>1660.58</v>
      </c>
      <c r="J59" s="7">
        <v>30325.31</v>
      </c>
      <c r="K59" s="6">
        <v>24</v>
      </c>
      <c r="L59" s="8">
        <v>0.5005342002898695</v>
      </c>
    </row>
    <row r="60" spans="1:12">
      <c r="A60" s="4" t="s">
        <v>35</v>
      </c>
      <c r="B60" s="4" t="s">
        <v>47</v>
      </c>
      <c r="C60" s="6">
        <v>18</v>
      </c>
      <c r="D60" s="6">
        <v>1060</v>
      </c>
      <c r="E60" s="7">
        <v>62273.5</v>
      </c>
      <c r="F60" s="7">
        <v>1609.48</v>
      </c>
      <c r="G60" s="7">
        <v>60664.02</v>
      </c>
      <c r="H60" s="7">
        <v>29576.5</v>
      </c>
      <c r="I60" s="7">
        <v>1636.4</v>
      </c>
      <c r="J60" s="7">
        <v>29451.12</v>
      </c>
      <c r="K60" s="6">
        <v>24</v>
      </c>
      <c r="L60" s="8">
        <v>0.4854792016750621</v>
      </c>
    </row>
    <row r="61" spans="1:12">
      <c r="A61" s="4" t="s">
        <v>35</v>
      </c>
      <c r="B61" s="4" t="s">
        <v>48</v>
      </c>
      <c r="C61" s="6">
        <v>17</v>
      </c>
      <c r="D61" s="6">
        <v>1153</v>
      </c>
      <c r="E61" s="7">
        <v>71200.34</v>
      </c>
      <c r="F61" s="7">
        <v>1616.58</v>
      </c>
      <c r="G61" s="7">
        <v>69583.75999999999</v>
      </c>
      <c r="H61" s="7">
        <v>33797.5</v>
      </c>
      <c r="I61" s="7">
        <v>1749.02</v>
      </c>
      <c r="J61" s="7">
        <v>34037.24</v>
      </c>
      <c r="K61" s="6">
        <v>24</v>
      </c>
      <c r="L61" s="8">
        <v>0.4891549407505429</v>
      </c>
    </row>
    <row r="62" spans="1:12">
      <c r="A62" s="4" t="s">
        <v>35</v>
      </c>
      <c r="B62" s="4" t="s">
        <v>49</v>
      </c>
      <c r="C62" s="6">
        <v>17</v>
      </c>
      <c r="D62" s="6">
        <v>1104</v>
      </c>
      <c r="E62" s="7">
        <v>63760.08</v>
      </c>
      <c r="F62" s="7">
        <v>1627.86</v>
      </c>
      <c r="G62" s="7">
        <v>62132.22</v>
      </c>
      <c r="H62" s="7">
        <v>31863</v>
      </c>
      <c r="I62" s="7">
        <v>1683.36</v>
      </c>
      <c r="J62" s="7">
        <v>28585.86</v>
      </c>
      <c r="K62" s="6">
        <v>24</v>
      </c>
      <c r="L62" s="8">
        <v>0.4600810980196748</v>
      </c>
    </row>
    <row r="63" spans="1:12">
      <c r="A63" s="4" t="s">
        <v>35</v>
      </c>
      <c r="B63" s="4" t="s">
        <v>50</v>
      </c>
      <c r="C63" s="6">
        <v>18</v>
      </c>
      <c r="D63" s="6">
        <v>1288</v>
      </c>
      <c r="E63" s="7">
        <v>83858.3</v>
      </c>
      <c r="F63" s="7">
        <v>1629.94</v>
      </c>
      <c r="G63" s="7">
        <v>82228.36</v>
      </c>
      <c r="H63" s="7">
        <v>39989.5</v>
      </c>
      <c r="I63" s="7">
        <v>1941.92</v>
      </c>
      <c r="J63" s="7">
        <v>40296.94</v>
      </c>
      <c r="K63" s="6">
        <v>24</v>
      </c>
      <c r="L63" s="8">
        <v>0.4900613365023941</v>
      </c>
    </row>
    <row r="64" spans="1:12">
      <c r="A64" s="4" t="s">
        <v>35</v>
      </c>
      <c r="B64" s="4" t="s">
        <v>51</v>
      </c>
      <c r="C64" s="6">
        <v>18</v>
      </c>
      <c r="D64" s="6">
        <v>1189</v>
      </c>
      <c r="E64" s="7">
        <v>74614.67</v>
      </c>
      <c r="F64" s="7">
        <v>1635.43</v>
      </c>
      <c r="G64" s="7">
        <v>72979.24000000001</v>
      </c>
      <c r="H64" s="7">
        <v>35663.5</v>
      </c>
      <c r="I64" s="7">
        <v>1809.26</v>
      </c>
      <c r="J64" s="7">
        <v>35506.48</v>
      </c>
      <c r="K64" s="6">
        <v>24</v>
      </c>
      <c r="L64" s="8">
        <v>0.4865284976933166</v>
      </c>
    </row>
    <row r="65" spans="1:12">
      <c r="A65" s="4" t="s">
        <v>35</v>
      </c>
      <c r="B65" s="4" t="s">
        <v>52</v>
      </c>
      <c r="C65" s="6">
        <v>16</v>
      </c>
      <c r="D65" s="6">
        <v>1089</v>
      </c>
      <c r="E65" s="7">
        <v>68007.92999999999</v>
      </c>
      <c r="F65" s="7">
        <v>1633.72</v>
      </c>
      <c r="G65" s="7">
        <v>66374.21000000001</v>
      </c>
      <c r="H65" s="7">
        <v>32191.5</v>
      </c>
      <c r="I65" s="7">
        <v>1651.26</v>
      </c>
      <c r="J65" s="7">
        <v>32531.45</v>
      </c>
      <c r="K65" s="6">
        <v>24</v>
      </c>
      <c r="L65" s="8">
        <v>0.4901218409981829</v>
      </c>
    </row>
    <row r="66" spans="1:12">
      <c r="A66" s="4" t="s">
        <v>36</v>
      </c>
      <c r="B66" s="4" t="s">
        <v>41</v>
      </c>
      <c r="C66" s="6">
        <v>18</v>
      </c>
      <c r="D66" s="6">
        <v>1190</v>
      </c>
      <c r="E66" s="7">
        <v>74395.22</v>
      </c>
      <c r="F66" s="7">
        <v>1785</v>
      </c>
      <c r="G66" s="7">
        <v>72610.22</v>
      </c>
      <c r="H66" s="7">
        <v>33861</v>
      </c>
      <c r="I66" s="7">
        <v>1941.5</v>
      </c>
      <c r="J66" s="7">
        <v>36807.72</v>
      </c>
      <c r="K66" s="6">
        <v>21</v>
      </c>
      <c r="L66" s="8">
        <v>0.5069220283315489</v>
      </c>
    </row>
    <row r="67" spans="1:12">
      <c r="A67" s="4" t="s">
        <v>36</v>
      </c>
      <c r="B67" s="4" t="s">
        <v>42</v>
      </c>
      <c r="C67" s="6">
        <v>18</v>
      </c>
      <c r="D67" s="6">
        <v>991</v>
      </c>
      <c r="E67" s="7">
        <v>60327.46</v>
      </c>
      <c r="F67" s="7">
        <v>1785</v>
      </c>
      <c r="G67" s="7">
        <v>58542.46</v>
      </c>
      <c r="H67" s="7">
        <v>27263</v>
      </c>
      <c r="I67" s="7">
        <v>1652.95</v>
      </c>
      <c r="J67" s="7">
        <v>29626.51</v>
      </c>
      <c r="K67" s="6">
        <v>21</v>
      </c>
      <c r="L67" s="8">
        <v>0.5060687576162669</v>
      </c>
    </row>
    <row r="68" spans="1:12">
      <c r="A68" s="4" t="s">
        <v>36</v>
      </c>
      <c r="B68" s="4" t="s">
        <v>43</v>
      </c>
      <c r="C68" s="6">
        <v>17</v>
      </c>
      <c r="D68" s="6">
        <v>1008</v>
      </c>
      <c r="E68" s="7">
        <v>58853.68</v>
      </c>
      <c r="F68" s="7">
        <v>1785</v>
      </c>
      <c r="G68" s="7">
        <v>57068.68</v>
      </c>
      <c r="H68" s="7">
        <v>28585.5</v>
      </c>
      <c r="I68" s="7">
        <v>1665.6</v>
      </c>
      <c r="J68" s="7">
        <v>26817.58</v>
      </c>
      <c r="K68" s="6">
        <v>21</v>
      </c>
      <c r="L68" s="8">
        <v>0.4699176501015969</v>
      </c>
    </row>
    <row r="69" spans="1:12">
      <c r="A69" s="4" t="s">
        <v>36</v>
      </c>
      <c r="B69" s="4" t="s">
        <v>44</v>
      </c>
      <c r="C69" s="6">
        <v>17</v>
      </c>
      <c r="D69" s="6">
        <v>1096</v>
      </c>
      <c r="E69" s="7">
        <v>69827.92</v>
      </c>
      <c r="F69" s="7">
        <v>1785</v>
      </c>
      <c r="G69" s="7">
        <v>68042.92</v>
      </c>
      <c r="H69" s="7">
        <v>31926.5</v>
      </c>
      <c r="I69" s="7">
        <v>1793.2</v>
      </c>
      <c r="J69" s="7">
        <v>34323.22</v>
      </c>
      <c r="K69" s="6">
        <v>21</v>
      </c>
      <c r="L69" s="8">
        <v>0.5044348478871865</v>
      </c>
    </row>
    <row r="70" spans="1:12">
      <c r="A70" s="4" t="s">
        <v>36</v>
      </c>
      <c r="B70" s="4" t="s">
        <v>45</v>
      </c>
      <c r="C70" s="6">
        <v>18</v>
      </c>
      <c r="D70" s="6">
        <v>1247</v>
      </c>
      <c r="E70" s="7">
        <v>78780.62</v>
      </c>
      <c r="F70" s="7">
        <v>1785</v>
      </c>
      <c r="G70" s="7">
        <v>76995.62</v>
      </c>
      <c r="H70" s="7">
        <v>35513</v>
      </c>
      <c r="I70" s="7">
        <v>2024.15</v>
      </c>
      <c r="J70" s="7">
        <v>39458.47</v>
      </c>
      <c r="K70" s="6">
        <v>21</v>
      </c>
      <c r="L70" s="8">
        <v>0.5124768136161512</v>
      </c>
    </row>
    <row r="71" spans="1:12">
      <c r="A71" s="4" t="s">
        <v>36</v>
      </c>
      <c r="B71" s="4" t="s">
        <v>46</v>
      </c>
      <c r="C71" s="6">
        <v>17</v>
      </c>
      <c r="D71" s="6">
        <v>1321</v>
      </c>
      <c r="E71" s="7">
        <v>83312.67999999999</v>
      </c>
      <c r="F71" s="7">
        <v>1785</v>
      </c>
      <c r="G71" s="7">
        <v>81527.67999999999</v>
      </c>
      <c r="H71" s="7">
        <v>38390.5</v>
      </c>
      <c r="I71" s="7">
        <v>2119.45</v>
      </c>
      <c r="J71" s="7">
        <v>41017.73</v>
      </c>
      <c r="K71" s="6">
        <v>21</v>
      </c>
      <c r="L71" s="8">
        <v>0.5031141570568425</v>
      </c>
    </row>
    <row r="72" spans="1:12">
      <c r="A72" s="4" t="s">
        <v>36</v>
      </c>
      <c r="B72" s="4" t="s">
        <v>47</v>
      </c>
      <c r="C72" s="6">
        <v>18</v>
      </c>
      <c r="D72" s="6">
        <v>1127</v>
      </c>
      <c r="E72" s="7">
        <v>72485.36</v>
      </c>
      <c r="F72" s="7">
        <v>1785</v>
      </c>
      <c r="G72" s="7">
        <v>70700.36</v>
      </c>
      <c r="H72" s="7">
        <v>34320.5</v>
      </c>
      <c r="I72" s="7">
        <v>1850.15</v>
      </c>
      <c r="J72" s="7">
        <v>34529.71</v>
      </c>
      <c r="K72" s="6">
        <v>21</v>
      </c>
      <c r="L72" s="8">
        <v>0.4883951085963353</v>
      </c>
    </row>
    <row r="73" spans="1:12">
      <c r="A73" s="4" t="s">
        <v>36</v>
      </c>
      <c r="B73" s="4" t="s">
        <v>48</v>
      </c>
      <c r="C73" s="6">
        <v>17</v>
      </c>
      <c r="D73" s="6">
        <v>1143</v>
      </c>
      <c r="E73" s="7">
        <v>68790</v>
      </c>
      <c r="F73" s="7">
        <v>1785</v>
      </c>
      <c r="G73" s="7">
        <v>67005</v>
      </c>
      <c r="H73" s="7">
        <v>31953</v>
      </c>
      <c r="I73" s="7">
        <v>1861.35</v>
      </c>
      <c r="J73" s="7">
        <v>33190.65</v>
      </c>
      <c r="K73" s="6">
        <v>21</v>
      </c>
      <c r="L73" s="8">
        <v>0.4953458697112156</v>
      </c>
    </row>
    <row r="74" spans="1:12">
      <c r="A74" s="4" t="s">
        <v>36</v>
      </c>
      <c r="B74" s="4" t="s">
        <v>49</v>
      </c>
      <c r="C74" s="6">
        <v>17</v>
      </c>
      <c r="D74" s="6">
        <v>1037</v>
      </c>
      <c r="E74" s="7">
        <v>63309.12</v>
      </c>
      <c r="F74" s="7">
        <v>1785</v>
      </c>
      <c r="G74" s="7">
        <v>61524.12</v>
      </c>
      <c r="H74" s="7">
        <v>30006.5</v>
      </c>
      <c r="I74" s="7">
        <v>1707.65</v>
      </c>
      <c r="J74" s="7">
        <v>29809.97</v>
      </c>
      <c r="K74" s="6">
        <v>21</v>
      </c>
      <c r="L74" s="8">
        <v>0.4845249310351777</v>
      </c>
    </row>
    <row r="75" spans="1:12">
      <c r="A75" s="4" t="s">
        <v>36</v>
      </c>
      <c r="B75" s="4" t="s">
        <v>50</v>
      </c>
      <c r="C75" s="6">
        <v>18</v>
      </c>
      <c r="D75" s="6">
        <v>1407</v>
      </c>
      <c r="E75" s="7">
        <v>89281.67999999999</v>
      </c>
      <c r="F75" s="7">
        <v>1785</v>
      </c>
      <c r="G75" s="7">
        <v>87496.67999999999</v>
      </c>
      <c r="H75" s="7">
        <v>42042</v>
      </c>
      <c r="I75" s="7">
        <v>2256.15</v>
      </c>
      <c r="J75" s="7">
        <v>43198.53</v>
      </c>
      <c r="K75" s="6">
        <v>21</v>
      </c>
      <c r="L75" s="8">
        <v>0.4937162187182417</v>
      </c>
    </row>
    <row r="76" spans="1:12">
      <c r="A76" s="4" t="s">
        <v>36</v>
      </c>
      <c r="B76" s="4" t="s">
        <v>51</v>
      </c>
      <c r="C76" s="6">
        <v>18</v>
      </c>
      <c r="D76" s="6">
        <v>1218</v>
      </c>
      <c r="E76" s="7">
        <v>79050</v>
      </c>
      <c r="F76" s="7">
        <v>1785</v>
      </c>
      <c r="G76" s="7">
        <v>77265</v>
      </c>
      <c r="H76" s="7">
        <v>37656</v>
      </c>
      <c r="I76" s="7">
        <v>1982.1</v>
      </c>
      <c r="J76" s="7">
        <v>37626.9</v>
      </c>
      <c r="K76" s="6">
        <v>21</v>
      </c>
      <c r="L76" s="8">
        <v>0.4869850514463211</v>
      </c>
    </row>
    <row r="77" spans="1:12">
      <c r="A77" s="4" t="s">
        <v>36</v>
      </c>
      <c r="B77" s="4" t="s">
        <v>52</v>
      </c>
      <c r="C77" s="6">
        <v>16</v>
      </c>
      <c r="D77" s="6">
        <v>1146</v>
      </c>
      <c r="E77" s="7">
        <v>73845.17999999999</v>
      </c>
      <c r="F77" s="7">
        <v>1785</v>
      </c>
      <c r="G77" s="7">
        <v>72060.17999999999</v>
      </c>
      <c r="H77" s="7">
        <v>34713</v>
      </c>
      <c r="I77" s="7">
        <v>1853.7</v>
      </c>
      <c r="J77" s="7">
        <v>35493.48</v>
      </c>
      <c r="K77" s="6">
        <v>21</v>
      </c>
      <c r="L77" s="8">
        <v>0.4925533075271252</v>
      </c>
    </row>
  </sheetData>
  <autoFilter ref="A5:L77"/>
  <mergeCells count="2">
    <mergeCell ref="A1:L1"/>
    <mergeCell ref="A2:L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15.7109375" customWidth="1"/>
    <col min="3" max="3" width="23.7109375" customWidth="1"/>
    <col min="4" max="4" width="19.7109375" customWidth="1"/>
  </cols>
  <sheetData>
    <row r="1" spans="1:4" ht="31" customHeight="1">
      <c r="A1" s="1" t="s">
        <v>53</v>
      </c>
      <c r="B1" s="1"/>
      <c r="C1" s="1"/>
      <c r="D1" s="1"/>
    </row>
    <row r="2" spans="1:4" ht="23" customHeight="1">
      <c r="A2" s="2" t="s">
        <v>54</v>
      </c>
      <c r="B2" s="2"/>
      <c r="C2" s="2"/>
      <c r="D2" s="2"/>
    </row>
    <row r="3" spans="1:4" ht="21" customHeight="1">
      <c r="A3" s="2"/>
      <c r="B3" s="2"/>
      <c r="C3" s="2"/>
      <c r="D3" s="2"/>
    </row>
    <row r="5" spans="1:4" ht="34" customHeight="1">
      <c r="A5" s="3" t="s">
        <v>55</v>
      </c>
      <c r="B5" s="3" t="s">
        <v>56</v>
      </c>
      <c r="C5" s="3" t="s">
        <v>57</v>
      </c>
      <c r="D5" s="3" t="s">
        <v>58</v>
      </c>
    </row>
    <row r="6" spans="1:4">
      <c r="A6" s="4" t="s">
        <v>59</v>
      </c>
      <c r="B6" s="4" t="s">
        <v>41</v>
      </c>
      <c r="C6" s="10">
        <v>4.246654545454545</v>
      </c>
      <c r="D6" s="6">
        <v>22</v>
      </c>
    </row>
    <row r="7" spans="1:4">
      <c r="A7" s="4" t="s">
        <v>59</v>
      </c>
      <c r="B7" s="4" t="s">
        <v>42</v>
      </c>
      <c r="C7" s="10">
        <v>4.172225</v>
      </c>
      <c r="D7" s="6">
        <v>20</v>
      </c>
    </row>
    <row r="8" spans="1:4">
      <c r="A8" s="4" t="s">
        <v>59</v>
      </c>
      <c r="B8" s="4" t="s">
        <v>43</v>
      </c>
      <c r="C8" s="10">
        <v>4.182009523809524</v>
      </c>
      <c r="D8" s="6">
        <v>21</v>
      </c>
    </row>
    <row r="9" spans="1:4">
      <c r="A9" s="4" t="s">
        <v>59</v>
      </c>
      <c r="B9" s="4" t="s">
        <v>44</v>
      </c>
      <c r="C9" s="10">
        <v>4.26522</v>
      </c>
      <c r="D9" s="6">
        <v>20</v>
      </c>
    </row>
    <row r="10" spans="1:4">
      <c r="A10" s="4" t="s">
        <v>59</v>
      </c>
      <c r="B10" s="4" t="s">
        <v>45</v>
      </c>
      <c r="C10" s="10">
        <v>4.2538</v>
      </c>
      <c r="D10" s="6">
        <v>21</v>
      </c>
    </row>
    <row r="11" spans="1:4">
      <c r="A11" s="4" t="s">
        <v>59</v>
      </c>
      <c r="B11" s="4" t="s">
        <v>46</v>
      </c>
      <c r="C11" s="10">
        <v>4.265771428571429</v>
      </c>
      <c r="D11" s="6">
        <v>21</v>
      </c>
    </row>
    <row r="12" spans="1:4">
      <c r="A12" s="4" t="s">
        <v>59</v>
      </c>
      <c r="B12" s="4" t="s">
        <v>47</v>
      </c>
      <c r="C12" s="10">
        <v>4.254147826086957</v>
      </c>
      <c r="D12" s="6">
        <v>23</v>
      </c>
    </row>
    <row r="13" spans="1:4">
      <c r="A13" s="4" t="s">
        <v>59</v>
      </c>
      <c r="B13" s="4" t="s">
        <v>48</v>
      </c>
      <c r="C13" s="10">
        <v>4.261304761904761</v>
      </c>
      <c r="D13" s="6">
        <v>21</v>
      </c>
    </row>
    <row r="14" spans="1:4">
      <c r="A14" s="4" t="s">
        <v>59</v>
      </c>
      <c r="B14" s="4" t="s">
        <v>49</v>
      </c>
      <c r="C14" s="10">
        <v>4.258886363636363</v>
      </c>
      <c r="D14" s="6">
        <v>22</v>
      </c>
    </row>
    <row r="15" spans="1:4">
      <c r="A15" s="4" t="s">
        <v>59</v>
      </c>
      <c r="B15" s="4" t="s">
        <v>50</v>
      </c>
      <c r="C15" s="10">
        <v>4.248791304347826</v>
      </c>
      <c r="D15" s="6">
        <v>23</v>
      </c>
    </row>
    <row r="16" spans="1:4">
      <c r="A16" s="4" t="s">
        <v>59</v>
      </c>
      <c r="B16" s="4" t="s">
        <v>51</v>
      </c>
      <c r="C16" s="10">
        <v>4.237635</v>
      </c>
      <c r="D16" s="6">
        <v>20</v>
      </c>
    </row>
    <row r="17" spans="1:4">
      <c r="A17" s="4" t="s">
        <v>59</v>
      </c>
      <c r="B17" s="4" t="s">
        <v>52</v>
      </c>
      <c r="C17" s="10">
        <v>4.223857142857143</v>
      </c>
      <c r="D17" s="6">
        <v>21</v>
      </c>
    </row>
    <row r="18" spans="1:4">
      <c r="A18" s="4" t="s">
        <v>60</v>
      </c>
      <c r="B18" s="4" t="s">
        <v>41</v>
      </c>
      <c r="C18" s="10">
        <v>25.16331818181818</v>
      </c>
      <c r="D18" s="6">
        <v>22</v>
      </c>
    </row>
    <row r="19" spans="1:4">
      <c r="A19" s="4" t="s">
        <v>60</v>
      </c>
      <c r="B19" s="4" t="s">
        <v>42</v>
      </c>
      <c r="C19" s="10">
        <v>25.07665</v>
      </c>
      <c r="D19" s="6">
        <v>20</v>
      </c>
    </row>
    <row r="20" spans="1:4">
      <c r="A20" s="4" t="s">
        <v>60</v>
      </c>
      <c r="B20" s="4" t="s">
        <v>43</v>
      </c>
      <c r="C20" s="10">
        <v>25.00123809523809</v>
      </c>
      <c r="D20" s="6">
        <v>21</v>
      </c>
    </row>
    <row r="21" spans="1:4">
      <c r="A21" s="4" t="s">
        <v>60</v>
      </c>
      <c r="B21" s="4" t="s">
        <v>44</v>
      </c>
      <c r="C21" s="10">
        <v>25.03895</v>
      </c>
      <c r="D21" s="6">
        <v>20</v>
      </c>
    </row>
    <row r="22" spans="1:4">
      <c r="A22" s="4" t="s">
        <v>60</v>
      </c>
      <c r="B22" s="4" t="s">
        <v>45</v>
      </c>
      <c r="C22" s="10">
        <v>24.92285714285714</v>
      </c>
      <c r="D22" s="6">
        <v>21</v>
      </c>
    </row>
    <row r="23" spans="1:4">
      <c r="A23" s="4" t="s">
        <v>60</v>
      </c>
      <c r="B23" s="4" t="s">
        <v>46</v>
      </c>
      <c r="C23" s="10">
        <v>24.80428571428572</v>
      </c>
      <c r="D23" s="6">
        <v>21</v>
      </c>
    </row>
    <row r="24" spans="1:4">
      <c r="A24" s="4" t="s">
        <v>60</v>
      </c>
      <c r="B24" s="4" t="s">
        <v>47</v>
      </c>
      <c r="C24" s="10">
        <v>24.62460869565217</v>
      </c>
      <c r="D24" s="6">
        <v>23</v>
      </c>
    </row>
    <row r="25" spans="1:4">
      <c r="A25" s="4" t="s">
        <v>60</v>
      </c>
      <c r="B25" s="4" t="s">
        <v>48</v>
      </c>
      <c r="C25" s="10">
        <v>24.51661904761905</v>
      </c>
      <c r="D25" s="6">
        <v>21</v>
      </c>
    </row>
    <row r="26" spans="1:4">
      <c r="A26" s="4" t="s">
        <v>60</v>
      </c>
      <c r="B26" s="4" t="s">
        <v>49</v>
      </c>
      <c r="C26" s="10">
        <v>24.34677272727273</v>
      </c>
      <c r="D26" s="6">
        <v>22</v>
      </c>
    </row>
    <row r="27" spans="1:4">
      <c r="A27" s="4" t="s">
        <v>60</v>
      </c>
      <c r="B27" s="4" t="s">
        <v>50</v>
      </c>
      <c r="C27" s="10">
        <v>24.31539130434783</v>
      </c>
      <c r="D27" s="6">
        <v>23</v>
      </c>
    </row>
    <row r="28" spans="1:4">
      <c r="A28" s="4" t="s">
        <v>60</v>
      </c>
      <c r="B28" s="4" t="s">
        <v>51</v>
      </c>
      <c r="C28" s="10">
        <v>24.23405</v>
      </c>
      <c r="D28" s="6">
        <v>20</v>
      </c>
    </row>
    <row r="29" spans="1:4">
      <c r="A29" s="4" t="s">
        <v>60</v>
      </c>
      <c r="B29" s="4" t="s">
        <v>52</v>
      </c>
      <c r="C29" s="10">
        <v>24.25928571428571</v>
      </c>
      <c r="D29" s="6">
        <v>21</v>
      </c>
    </row>
  </sheetData>
  <autoFilter ref="A5:D29"/>
  <mergeCells count="2">
    <mergeCell ref="A1:D1"/>
    <mergeCell ref="A2:D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2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12.7109375" customWidth="1"/>
    <col min="3" max="3" width="24.7109375" customWidth="1"/>
    <col min="4" max="4" width="30.7109375" customWidth="1"/>
  </cols>
  <sheetData>
    <row r="1" spans="1:4" ht="31" customHeight="1">
      <c r="A1" s="1" t="s">
        <v>61</v>
      </c>
      <c r="B1" s="1"/>
      <c r="C1" s="1"/>
      <c r="D1" s="1"/>
    </row>
    <row r="2" spans="1:4" ht="23" customHeight="1">
      <c r="A2" s="2" t="s">
        <v>62</v>
      </c>
      <c r="B2" s="2"/>
      <c r="C2" s="2"/>
      <c r="D2" s="2"/>
    </row>
    <row r="3" spans="1:4" ht="21" customHeight="1">
      <c r="A3" s="2"/>
      <c r="B3" s="2"/>
      <c r="C3" s="2"/>
      <c r="D3" s="2"/>
    </row>
    <row r="5" spans="1:4" ht="34" customHeight="1">
      <c r="A5" s="3" t="s">
        <v>20</v>
      </c>
      <c r="B5" s="3" t="s">
        <v>63</v>
      </c>
      <c r="C5" s="3" t="s">
        <v>64</v>
      </c>
      <c r="D5" s="3" t="s">
        <v>65</v>
      </c>
    </row>
    <row r="6" spans="1:4">
      <c r="A6" s="4" t="s">
        <v>31</v>
      </c>
      <c r="B6" s="6">
        <v>2022</v>
      </c>
      <c r="C6" s="6">
        <v>83177813</v>
      </c>
      <c r="D6" s="7">
        <v>50506.5179638543</v>
      </c>
    </row>
    <row r="7" spans="1:4">
      <c r="A7" s="4" t="s">
        <v>31</v>
      </c>
      <c r="B7" s="6">
        <v>2023</v>
      </c>
      <c r="C7" s="6">
        <v>83287273</v>
      </c>
      <c r="D7" s="7">
        <v>54776.7668235491</v>
      </c>
    </row>
    <row r="8" spans="1:4">
      <c r="A8" s="4" t="s">
        <v>31</v>
      </c>
      <c r="B8" s="6">
        <v>2024</v>
      </c>
      <c r="C8" s="6">
        <v>83516593</v>
      </c>
      <c r="D8" s="7">
        <v>56103.7323182554</v>
      </c>
    </row>
    <row r="9" spans="1:4">
      <c r="A9" s="4" t="s">
        <v>32</v>
      </c>
      <c r="B9" s="6">
        <v>2022</v>
      </c>
      <c r="C9" s="6">
        <v>68184457</v>
      </c>
      <c r="D9" s="7">
        <v>40988.6396406579</v>
      </c>
    </row>
    <row r="10" spans="1:4">
      <c r="A10" s="4" t="s">
        <v>32</v>
      </c>
      <c r="B10" s="6">
        <v>2023</v>
      </c>
      <c r="C10" s="6">
        <v>68372286</v>
      </c>
      <c r="D10" s="7">
        <v>44700.1384177544</v>
      </c>
    </row>
    <row r="11" spans="1:4">
      <c r="A11" s="4" t="s">
        <v>32</v>
      </c>
      <c r="B11" s="6">
        <v>2024</v>
      </c>
      <c r="C11" s="6">
        <v>68551653</v>
      </c>
      <c r="D11" s="7">
        <v>46103.0840855884</v>
      </c>
    </row>
    <row r="12" spans="1:4">
      <c r="A12" s="4" t="s">
        <v>33</v>
      </c>
      <c r="B12" s="6">
        <v>2022</v>
      </c>
      <c r="C12" s="6">
        <v>17700982</v>
      </c>
      <c r="D12" s="7">
        <v>59123.318556487</v>
      </c>
    </row>
    <row r="13" spans="1:4">
      <c r="A13" s="4" t="s">
        <v>33</v>
      </c>
      <c r="B13" s="6">
        <v>2023</v>
      </c>
      <c r="C13" s="6">
        <v>17877117</v>
      </c>
      <c r="D13" s="7">
        <v>63515.6030780019</v>
      </c>
    </row>
    <row r="14" spans="1:4">
      <c r="A14" s="4" t="s">
        <v>33</v>
      </c>
      <c r="B14" s="6">
        <v>2024</v>
      </c>
      <c r="C14" s="6">
        <v>17993485</v>
      </c>
      <c r="D14" s="7">
        <v>67465.3208126875</v>
      </c>
    </row>
    <row r="15" spans="1:4">
      <c r="A15" s="4" t="s">
        <v>34</v>
      </c>
      <c r="B15" s="6">
        <v>2022</v>
      </c>
      <c r="C15" s="6">
        <v>36821749</v>
      </c>
      <c r="D15" s="7">
        <v>18891.2121169279</v>
      </c>
    </row>
    <row r="16" spans="1:4">
      <c r="A16" s="4" t="s">
        <v>34</v>
      </c>
      <c r="B16" s="6">
        <v>2023</v>
      </c>
      <c r="C16" s="6">
        <v>36687353</v>
      </c>
      <c r="D16" s="7">
        <v>22145.2660647429</v>
      </c>
    </row>
    <row r="17" spans="1:4">
      <c r="A17" s="4" t="s">
        <v>34</v>
      </c>
      <c r="B17" s="6">
        <v>2024</v>
      </c>
      <c r="C17" s="6">
        <v>36559233</v>
      </c>
      <c r="D17" s="7">
        <v>25103.565661423</v>
      </c>
    </row>
    <row r="18" spans="1:4">
      <c r="A18" s="4" t="s">
        <v>35</v>
      </c>
      <c r="B18" s="6">
        <v>2022</v>
      </c>
      <c r="C18" s="6">
        <v>10672118</v>
      </c>
      <c r="D18" s="7">
        <v>28282.2236715857</v>
      </c>
    </row>
    <row r="19" spans="1:4">
      <c r="A19" s="4" t="s">
        <v>35</v>
      </c>
      <c r="B19" s="6">
        <v>2023</v>
      </c>
      <c r="C19" s="6">
        <v>10864042</v>
      </c>
      <c r="D19" s="7">
        <v>31761.5944102491</v>
      </c>
    </row>
    <row r="20" spans="1:4">
      <c r="A20" s="4" t="s">
        <v>35</v>
      </c>
      <c r="B20" s="6">
        <v>2024</v>
      </c>
      <c r="C20" s="6">
        <v>10905028</v>
      </c>
      <c r="D20" s="7">
        <v>31827.7552539413</v>
      </c>
    </row>
    <row r="21" spans="1:4">
      <c r="A21" s="4" t="s">
        <v>36</v>
      </c>
      <c r="B21" s="6">
        <v>2022</v>
      </c>
      <c r="C21" s="6">
        <v>47786102</v>
      </c>
      <c r="D21" s="7">
        <v>30319.4987196616</v>
      </c>
    </row>
    <row r="22" spans="1:4">
      <c r="A22" s="4" t="s">
        <v>36</v>
      </c>
      <c r="B22" s="6">
        <v>2023</v>
      </c>
      <c r="C22" s="6">
        <v>48352528</v>
      </c>
      <c r="D22" s="7">
        <v>33493.2225409111</v>
      </c>
    </row>
    <row r="23" spans="1:4">
      <c r="A23" s="4" t="s">
        <v>36</v>
      </c>
      <c r="B23" s="6">
        <v>2024</v>
      </c>
      <c r="C23" s="6">
        <v>48848840</v>
      </c>
      <c r="D23" s="7">
        <v>35326.7683069278</v>
      </c>
    </row>
    <row r="26" spans="1:4">
      <c r="A26" s="3" t="s">
        <v>66</v>
      </c>
      <c r="B26" s="3" t="s">
        <v>67</v>
      </c>
    </row>
    <row r="27" spans="1:4">
      <c r="A27" t="s">
        <v>31</v>
      </c>
      <c r="B27" s="8">
        <v>0.004072961139288456</v>
      </c>
    </row>
    <row r="28" spans="1:4">
      <c r="A28" t="s">
        <v>32</v>
      </c>
      <c r="B28" s="8">
        <v>0.005385332906588935</v>
      </c>
    </row>
    <row r="29" spans="1:4">
      <c r="A29" t="s">
        <v>33</v>
      </c>
      <c r="B29" s="8">
        <v>0.0165246764275564</v>
      </c>
    </row>
    <row r="30" spans="1:4">
      <c r="A30" t="s">
        <v>34</v>
      </c>
      <c r="B30" s="8">
        <v>-0.007129373458061417</v>
      </c>
    </row>
    <row r="31" spans="1:4">
      <c r="A31" t="s">
        <v>35</v>
      </c>
      <c r="B31" s="8">
        <v>0.02182415899074575</v>
      </c>
    </row>
    <row r="32" spans="1:4">
      <c r="A32" t="s">
        <v>36</v>
      </c>
      <c r="B32" s="8">
        <v>0.02223947875053711</v>
      </c>
    </row>
  </sheetData>
  <autoFilter ref="A5:D23"/>
  <mergeCells count="2">
    <mergeCell ref="A1:D1"/>
    <mergeCell ref="A2:D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2" width="18.7109375" customWidth="1"/>
    <col min="3" max="3" width="12.7109375" customWidth="1"/>
    <col min="4" max="5" width="22.7109375" customWidth="1"/>
  </cols>
  <sheetData>
    <row r="1" spans="1:5" ht="31" customHeight="1">
      <c r="A1" s="1" t="s">
        <v>68</v>
      </c>
      <c r="B1" s="1"/>
      <c r="C1" s="1"/>
      <c r="D1" s="1"/>
      <c r="E1" s="1"/>
    </row>
    <row r="2" spans="1:5" ht="23" customHeight="1">
      <c r="A2" s="2" t="s">
        <v>69</v>
      </c>
      <c r="B2" s="2"/>
      <c r="C2" s="2"/>
      <c r="D2" s="2"/>
      <c r="E2" s="2"/>
    </row>
    <row r="3" spans="1:5" ht="21" customHeight="1">
      <c r="A3" s="2"/>
      <c r="B3" s="2"/>
      <c r="C3" s="2"/>
      <c r="D3" s="2"/>
      <c r="E3" s="2"/>
    </row>
    <row r="5" spans="1:5" ht="34" customHeight="1">
      <c r="A5" s="3" t="s">
        <v>20</v>
      </c>
      <c r="B5" s="3" t="s">
        <v>70</v>
      </c>
      <c r="C5" s="3" t="s">
        <v>71</v>
      </c>
      <c r="D5" s="3" t="s">
        <v>72</v>
      </c>
      <c r="E5" s="3" t="s">
        <v>73</v>
      </c>
    </row>
    <row r="6" spans="1:5">
      <c r="A6" s="4" t="s">
        <v>31</v>
      </c>
      <c r="B6" s="7">
        <v>280000</v>
      </c>
      <c r="C6" s="6">
        <v>5</v>
      </c>
      <c r="D6" s="7">
        <v>95000</v>
      </c>
      <c r="E6" s="7">
        <v>2.6</v>
      </c>
    </row>
    <row r="7" spans="1:5">
      <c r="A7" s="4" t="s">
        <v>32</v>
      </c>
      <c r="B7" s="7">
        <v>210000</v>
      </c>
      <c r="C7" s="6">
        <v>4</v>
      </c>
      <c r="D7" s="7">
        <v>85000</v>
      </c>
      <c r="E7" s="7">
        <v>2.9</v>
      </c>
    </row>
    <row r="8" spans="1:5">
      <c r="A8" s="4" t="s">
        <v>33</v>
      </c>
      <c r="B8" s="7">
        <v>140000</v>
      </c>
      <c r="C8" s="6">
        <v>3</v>
      </c>
      <c r="D8" s="7">
        <v>65000</v>
      </c>
      <c r="E8" s="7">
        <v>3.2</v>
      </c>
    </row>
    <row r="9" spans="1:5">
      <c r="A9" s="4" t="s">
        <v>34</v>
      </c>
      <c r="B9" s="7">
        <v>110000</v>
      </c>
      <c r="C9" s="6">
        <v>3</v>
      </c>
      <c r="D9" s="7">
        <v>45000</v>
      </c>
      <c r="E9" s="7">
        <v>2.4</v>
      </c>
    </row>
    <row r="10" spans="1:5">
      <c r="A10" s="4" t="s">
        <v>35</v>
      </c>
      <c r="B10" s="7">
        <v>95000</v>
      </c>
      <c r="C10" s="6">
        <v>2</v>
      </c>
      <c r="D10" s="7">
        <v>40000</v>
      </c>
      <c r="E10" s="7">
        <v>2.1</v>
      </c>
    </row>
    <row r="11" spans="1:5">
      <c r="A11" s="4" t="s">
        <v>36</v>
      </c>
      <c r="B11" s="7">
        <v>130000</v>
      </c>
      <c r="C11" s="6">
        <v>3</v>
      </c>
      <c r="D11" s="7">
        <v>55000</v>
      </c>
      <c r="E11" s="7">
        <v>3</v>
      </c>
    </row>
  </sheetData>
  <autoFilter ref="A5:E11"/>
  <mergeCells count="2">
    <mergeCell ref="A1:E1"/>
    <mergeCell ref="A2:E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6.7109375" customWidth="1"/>
    <col min="4" max="4" width="23.7109375" customWidth="1"/>
    <col min="5" max="5" width="12.7109375" customWidth="1"/>
    <col min="6" max="6" width="19.7109375" customWidth="1"/>
  </cols>
  <sheetData>
    <row r="1" spans="1:6" ht="31" customHeight="1">
      <c r="A1" s="1" t="s">
        <v>74</v>
      </c>
      <c r="B1" s="1"/>
      <c r="C1" s="1"/>
      <c r="D1" s="1"/>
      <c r="E1" s="1"/>
      <c r="F1" s="1"/>
    </row>
    <row r="2" spans="1:6" ht="23" customHeight="1">
      <c r="A2" s="2" t="s">
        <v>75</v>
      </c>
      <c r="B2" s="2"/>
      <c r="C2" s="2"/>
      <c r="D2" s="2"/>
      <c r="E2" s="2"/>
      <c r="F2" s="2"/>
    </row>
    <row r="3" spans="1:6" ht="21" customHeight="1">
      <c r="A3" s="2"/>
      <c r="B3" s="2"/>
      <c r="C3" s="2"/>
      <c r="D3" s="2"/>
      <c r="E3" s="2"/>
      <c r="F3" s="2"/>
    </row>
    <row r="5" spans="1:6" ht="34" customHeight="1">
      <c r="A5" s="3" t="s">
        <v>76</v>
      </c>
      <c r="B5" s="3" t="s">
        <v>12</v>
      </c>
      <c r="C5" s="3" t="s">
        <v>77</v>
      </c>
      <c r="D5" s="3" t="s">
        <v>78</v>
      </c>
      <c r="E5" s="3" t="s">
        <v>71</v>
      </c>
      <c r="F5" s="3" t="s">
        <v>79</v>
      </c>
    </row>
    <row r="6" spans="1:6">
      <c r="A6" s="4" t="s">
        <v>35</v>
      </c>
      <c r="B6" s="4" t="s">
        <v>80</v>
      </c>
      <c r="C6" s="7">
        <v>31456.76</v>
      </c>
      <c r="D6" s="7">
        <v>95000</v>
      </c>
      <c r="E6" s="6">
        <v>2</v>
      </c>
      <c r="F6" s="11">
        <v>3.02001859059865</v>
      </c>
    </row>
    <row r="7" spans="1:6">
      <c r="A7" s="4" t="s">
        <v>35</v>
      </c>
      <c r="B7" s="4" t="s">
        <v>81</v>
      </c>
      <c r="C7" s="7">
        <v>95382.94</v>
      </c>
      <c r="D7" s="7">
        <v>95000</v>
      </c>
      <c r="E7" s="6">
        <v>2</v>
      </c>
      <c r="F7" s="11">
        <v>0.9959852359342247</v>
      </c>
    </row>
    <row r="8" spans="1:6">
      <c r="A8" s="4" t="s">
        <v>35</v>
      </c>
      <c r="B8" s="4" t="s">
        <v>82</v>
      </c>
      <c r="C8" s="7">
        <v>159309.12</v>
      </c>
      <c r="D8" s="7">
        <v>95000</v>
      </c>
      <c r="E8" s="6">
        <v>2</v>
      </c>
      <c r="F8" s="11">
        <v>0.5963249310522838</v>
      </c>
    </row>
    <row r="9" spans="1:6">
      <c r="A9" s="4" t="s">
        <v>35</v>
      </c>
      <c r="B9" s="4" t="s">
        <v>83</v>
      </c>
      <c r="C9" s="7">
        <v>-37826.95</v>
      </c>
      <c r="D9" s="7">
        <v>95000</v>
      </c>
      <c r="E9" s="6">
        <v>2</v>
      </c>
      <c r="F9" s="11"/>
    </row>
    <row r="10" spans="1:6">
      <c r="A10" s="4" t="s">
        <v>84</v>
      </c>
      <c r="B10" s="4" t="s">
        <v>80</v>
      </c>
      <c r="C10" s="7">
        <v>64619.11</v>
      </c>
      <c r="D10" s="7">
        <v>225000</v>
      </c>
      <c r="E10" s="6">
        <v>5</v>
      </c>
      <c r="F10" s="11">
        <v>3.481942106599735</v>
      </c>
    </row>
    <row r="11" spans="1:6">
      <c r="A11" s="4" t="s">
        <v>84</v>
      </c>
      <c r="B11" s="4" t="s">
        <v>81</v>
      </c>
      <c r="C11" s="7">
        <v>198099.31</v>
      </c>
      <c r="D11" s="7">
        <v>225000</v>
      </c>
      <c r="E11" s="6">
        <v>5</v>
      </c>
      <c r="F11" s="11">
        <v>1.135793961119804</v>
      </c>
    </row>
    <row r="12" spans="1:6">
      <c r="A12" s="4" t="s">
        <v>84</v>
      </c>
      <c r="B12" s="4" t="s">
        <v>82</v>
      </c>
      <c r="C12" s="7">
        <v>331579.51</v>
      </c>
      <c r="D12" s="7">
        <v>225000</v>
      </c>
      <c r="E12" s="6">
        <v>5</v>
      </c>
      <c r="F12" s="11">
        <v>0.6785702771561488</v>
      </c>
    </row>
    <row r="13" spans="1:6">
      <c r="A13" s="4" t="s">
        <v>84</v>
      </c>
      <c r="B13" s="4" t="s">
        <v>83</v>
      </c>
      <c r="C13" s="7">
        <v>32179.71</v>
      </c>
      <c r="D13" s="7">
        <v>225000</v>
      </c>
      <c r="E13" s="6">
        <v>5</v>
      </c>
      <c r="F13" s="11">
        <v>6.991983457899403</v>
      </c>
    </row>
    <row r="14" spans="1:6">
      <c r="A14" s="4" t="s">
        <v>85</v>
      </c>
      <c r="B14" s="4" t="s">
        <v>80</v>
      </c>
      <c r="C14" s="7">
        <v>0</v>
      </c>
      <c r="D14" s="7">
        <v>0</v>
      </c>
      <c r="E14" s="6">
        <v>0</v>
      </c>
      <c r="F14" s="11"/>
    </row>
    <row r="15" spans="1:6">
      <c r="A15" s="4" t="s">
        <v>85</v>
      </c>
      <c r="B15" s="4" t="s">
        <v>81</v>
      </c>
      <c r="C15" s="7">
        <v>0</v>
      </c>
      <c r="D15" s="7">
        <v>0</v>
      </c>
      <c r="E15" s="6">
        <v>0</v>
      </c>
      <c r="F15" s="11"/>
    </row>
    <row r="16" spans="1:6">
      <c r="A16" s="4" t="s">
        <v>85</v>
      </c>
      <c r="B16" s="4" t="s">
        <v>82</v>
      </c>
      <c r="C16" s="7">
        <v>0</v>
      </c>
      <c r="D16" s="7">
        <v>0</v>
      </c>
      <c r="E16" s="6">
        <v>0</v>
      </c>
      <c r="F16" s="11"/>
    </row>
    <row r="17" spans="1:6">
      <c r="A17" s="4" t="s">
        <v>85</v>
      </c>
      <c r="B17" s="4" t="s">
        <v>83</v>
      </c>
      <c r="C17" s="7">
        <v>0</v>
      </c>
      <c r="D17" s="7">
        <v>0</v>
      </c>
      <c r="E17" s="6">
        <v>0</v>
      </c>
      <c r="F17" s="11"/>
    </row>
    <row r="18" spans="1:6">
      <c r="A18" s="4" t="s">
        <v>31</v>
      </c>
      <c r="B18" s="4" t="s">
        <v>80</v>
      </c>
      <c r="C18" s="7">
        <v>-34005.86</v>
      </c>
      <c r="D18" s="7">
        <v>280000</v>
      </c>
      <c r="E18" s="6">
        <v>5</v>
      </c>
      <c r="F18" s="11"/>
    </row>
    <row r="19" spans="1:6">
      <c r="A19" s="4" t="s">
        <v>31</v>
      </c>
      <c r="B19" s="4" t="s">
        <v>81</v>
      </c>
      <c r="C19" s="7">
        <v>10088.64</v>
      </c>
      <c r="D19" s="7">
        <v>280000</v>
      </c>
      <c r="E19" s="6">
        <v>5</v>
      </c>
      <c r="F19" s="11">
        <v>27.75398864465379</v>
      </c>
    </row>
    <row r="20" spans="1:6">
      <c r="A20" s="4" t="s">
        <v>31</v>
      </c>
      <c r="B20" s="4" t="s">
        <v>82</v>
      </c>
      <c r="C20" s="7">
        <v>54183.14</v>
      </c>
      <c r="D20" s="7">
        <v>280000</v>
      </c>
      <c r="E20" s="6">
        <v>5</v>
      </c>
      <c r="F20" s="11">
        <v>5.167659164825073</v>
      </c>
    </row>
    <row r="21" spans="1:6">
      <c r="A21" s="4" t="s">
        <v>31</v>
      </c>
      <c r="B21" s="4" t="s">
        <v>83</v>
      </c>
      <c r="C21" s="7">
        <v>-13583.04</v>
      </c>
      <c r="D21" s="7">
        <v>280000</v>
      </c>
      <c r="E21" s="6">
        <v>5</v>
      </c>
      <c r="F21" s="11"/>
    </row>
    <row r="22" spans="1:6">
      <c r="A22" s="4" t="s">
        <v>86</v>
      </c>
      <c r="B22" s="4" t="s">
        <v>80</v>
      </c>
      <c r="C22" s="7">
        <v>-2549.1</v>
      </c>
      <c r="D22" s="7">
        <v>375000</v>
      </c>
      <c r="E22" s="6">
        <v>7</v>
      </c>
      <c r="F22" s="11"/>
    </row>
    <row r="23" spans="1:6">
      <c r="A23" s="4" t="s">
        <v>86</v>
      </c>
      <c r="B23" s="4" t="s">
        <v>81</v>
      </c>
      <c r="C23" s="7">
        <v>105471.58</v>
      </c>
      <c r="D23" s="7">
        <v>375000</v>
      </c>
      <c r="E23" s="6">
        <v>7</v>
      </c>
      <c r="F23" s="11">
        <v>3.555460153341782</v>
      </c>
    </row>
    <row r="24" spans="1:6">
      <c r="A24" s="4" t="s">
        <v>86</v>
      </c>
      <c r="B24" s="4" t="s">
        <v>82</v>
      </c>
      <c r="C24" s="7">
        <v>213492.26</v>
      </c>
      <c r="D24" s="7">
        <v>375000</v>
      </c>
      <c r="E24" s="6">
        <v>7</v>
      </c>
      <c r="F24" s="11">
        <v>1.756503959440965</v>
      </c>
    </row>
    <row r="25" spans="1:6">
      <c r="A25" s="4" t="s">
        <v>86</v>
      </c>
      <c r="B25" s="4" t="s">
        <v>83</v>
      </c>
      <c r="C25" s="7">
        <v>-51409.99</v>
      </c>
      <c r="D25" s="7">
        <v>375000</v>
      </c>
      <c r="E25" s="6">
        <v>7</v>
      </c>
      <c r="F25" s="11"/>
    </row>
    <row r="26" spans="1:6">
      <c r="A26" s="4" t="s">
        <v>36</v>
      </c>
      <c r="B26" s="4" t="s">
        <v>80</v>
      </c>
      <c r="C26" s="7">
        <v>33162.35</v>
      </c>
      <c r="D26" s="7">
        <v>130000</v>
      </c>
      <c r="E26" s="6">
        <v>3</v>
      </c>
      <c r="F26" s="11">
        <v>3.920108194986182</v>
      </c>
    </row>
    <row r="27" spans="1:6">
      <c r="A27" s="4" t="s">
        <v>36</v>
      </c>
      <c r="B27" s="4" t="s">
        <v>81</v>
      </c>
      <c r="C27" s="7">
        <v>102716.37</v>
      </c>
      <c r="D27" s="7">
        <v>130000</v>
      </c>
      <c r="E27" s="6">
        <v>3</v>
      </c>
      <c r="F27" s="11">
        <v>1.265621049497758</v>
      </c>
    </row>
    <row r="28" spans="1:6">
      <c r="A28" s="4" t="s">
        <v>36</v>
      </c>
      <c r="B28" s="4" t="s">
        <v>82</v>
      </c>
      <c r="C28" s="7">
        <v>172270.39</v>
      </c>
      <c r="D28" s="7">
        <v>130000</v>
      </c>
      <c r="E28" s="6">
        <v>3</v>
      </c>
      <c r="F28" s="11">
        <v>0.7546276524944304</v>
      </c>
    </row>
    <row r="29" spans="1:6">
      <c r="A29" s="4" t="s">
        <v>36</v>
      </c>
      <c r="B29" s="4" t="s">
        <v>83</v>
      </c>
      <c r="C29" s="7">
        <v>70006.66</v>
      </c>
      <c r="D29" s="7">
        <v>130000</v>
      </c>
      <c r="E29" s="6">
        <v>3</v>
      </c>
      <c r="F29" s="11">
        <v>1.856966180074867</v>
      </c>
    </row>
    <row r="30" spans="1:6">
      <c r="A30" s="4" t="s">
        <v>32</v>
      </c>
      <c r="B30" s="4" t="s">
        <v>80</v>
      </c>
      <c r="C30" s="7">
        <v>-19475.69</v>
      </c>
      <c r="D30" s="7">
        <v>210000</v>
      </c>
      <c r="E30" s="6">
        <v>4</v>
      </c>
      <c r="F30" s="11"/>
    </row>
    <row r="31" spans="1:6">
      <c r="A31" s="4" t="s">
        <v>32</v>
      </c>
      <c r="B31" s="4" t="s">
        <v>81</v>
      </c>
      <c r="C31" s="7">
        <v>27132.78</v>
      </c>
      <c r="D31" s="7">
        <v>210000</v>
      </c>
      <c r="E31" s="6">
        <v>4</v>
      </c>
      <c r="F31" s="11">
        <v>7.7397155765093</v>
      </c>
    </row>
    <row r="32" spans="1:6">
      <c r="A32" s="4" t="s">
        <v>32</v>
      </c>
      <c r="B32" s="4" t="s">
        <v>82</v>
      </c>
      <c r="C32" s="7">
        <v>73741.24000000001</v>
      </c>
      <c r="D32" s="7">
        <v>210000</v>
      </c>
      <c r="E32" s="6">
        <v>4</v>
      </c>
      <c r="F32" s="11">
        <v>2.847795887348789</v>
      </c>
    </row>
    <row r="33" spans="1:6">
      <c r="A33" s="4" t="s">
        <v>32</v>
      </c>
      <c r="B33" s="4" t="s">
        <v>83</v>
      </c>
      <c r="C33" s="7">
        <v>3097.9</v>
      </c>
      <c r="D33" s="7">
        <v>210000</v>
      </c>
      <c r="E33" s="6">
        <v>4</v>
      </c>
      <c r="F33" s="11">
        <v>67.78785628974467</v>
      </c>
    </row>
    <row r="34" spans="1:6">
      <c r="A34" s="4" t="s">
        <v>87</v>
      </c>
      <c r="B34" s="4" t="s">
        <v>80</v>
      </c>
      <c r="C34" s="7">
        <v>11981.07</v>
      </c>
      <c r="D34" s="7">
        <v>305000</v>
      </c>
      <c r="E34" s="6">
        <v>6</v>
      </c>
      <c r="F34" s="11">
        <v>25.45682480780097</v>
      </c>
    </row>
    <row r="35" spans="1:6">
      <c r="A35" s="4" t="s">
        <v>87</v>
      </c>
      <c r="B35" s="4" t="s">
        <v>81</v>
      </c>
      <c r="C35" s="7">
        <v>122515.72</v>
      </c>
      <c r="D35" s="7">
        <v>305000</v>
      </c>
      <c r="E35" s="6">
        <v>6</v>
      </c>
      <c r="F35" s="11">
        <v>2.489476452491158</v>
      </c>
    </row>
    <row r="36" spans="1:6">
      <c r="A36" s="4" t="s">
        <v>87</v>
      </c>
      <c r="B36" s="4" t="s">
        <v>82</v>
      </c>
      <c r="C36" s="7">
        <v>233050.36</v>
      </c>
      <c r="D36" s="7">
        <v>305000</v>
      </c>
      <c r="E36" s="6">
        <v>6</v>
      </c>
      <c r="F36" s="11">
        <v>1.308730010114552</v>
      </c>
    </row>
    <row r="37" spans="1:6">
      <c r="A37" s="4" t="s">
        <v>87</v>
      </c>
      <c r="B37" s="4" t="s">
        <v>83</v>
      </c>
      <c r="C37" s="7">
        <v>-34729.05</v>
      </c>
      <c r="D37" s="7">
        <v>305000</v>
      </c>
      <c r="E37" s="6">
        <v>6</v>
      </c>
      <c r="F37" s="11"/>
    </row>
    <row r="38" spans="1:6">
      <c r="A38" s="4" t="s">
        <v>88</v>
      </c>
      <c r="B38" s="4" t="s">
        <v>80</v>
      </c>
      <c r="C38" s="7">
        <v>13686.66</v>
      </c>
      <c r="D38" s="7">
        <v>340000</v>
      </c>
      <c r="E38" s="6">
        <v>7</v>
      </c>
      <c r="F38" s="11">
        <v>24.84170718056852</v>
      </c>
    </row>
    <row r="39" spans="1:6">
      <c r="A39" s="4" t="s">
        <v>88</v>
      </c>
      <c r="B39" s="4" t="s">
        <v>81</v>
      </c>
      <c r="C39" s="7">
        <v>129849.15</v>
      </c>
      <c r="D39" s="7">
        <v>340000</v>
      </c>
      <c r="E39" s="6">
        <v>7</v>
      </c>
      <c r="F39" s="11">
        <v>2.618422993142427</v>
      </c>
    </row>
    <row r="40" spans="1:6">
      <c r="A40" s="4" t="s">
        <v>88</v>
      </c>
      <c r="B40" s="4" t="s">
        <v>82</v>
      </c>
      <c r="C40" s="7">
        <v>246011.63</v>
      </c>
      <c r="D40" s="7">
        <v>340000</v>
      </c>
      <c r="E40" s="6">
        <v>7</v>
      </c>
      <c r="F40" s="11">
        <v>1.382048482829856</v>
      </c>
    </row>
    <row r="41" spans="1:6">
      <c r="A41" s="4" t="s">
        <v>88</v>
      </c>
      <c r="B41" s="4" t="s">
        <v>83</v>
      </c>
      <c r="C41" s="7">
        <v>73104.56</v>
      </c>
      <c r="D41" s="7">
        <v>340000</v>
      </c>
      <c r="E41" s="6">
        <v>7</v>
      </c>
      <c r="F41" s="11">
        <v>4.650872667860938</v>
      </c>
    </row>
    <row r="42" spans="1:6">
      <c r="A42" s="4" t="s">
        <v>89</v>
      </c>
      <c r="B42" s="4" t="s">
        <v>80</v>
      </c>
      <c r="C42" s="7">
        <v>-8643.75</v>
      </c>
      <c r="D42" s="7">
        <v>350000</v>
      </c>
      <c r="E42" s="6">
        <v>7</v>
      </c>
      <c r="F42" s="11"/>
    </row>
    <row r="43" spans="1:6">
      <c r="A43" s="4" t="s">
        <v>89</v>
      </c>
      <c r="B43" s="4" t="s">
        <v>81</v>
      </c>
      <c r="C43" s="7">
        <v>91347.84</v>
      </c>
      <c r="D43" s="7">
        <v>350000</v>
      </c>
      <c r="E43" s="6">
        <v>7</v>
      </c>
      <c r="F43" s="11">
        <v>3.831508221759814</v>
      </c>
    </row>
    <row r="44" spans="1:6">
      <c r="A44" s="4" t="s">
        <v>89</v>
      </c>
      <c r="B44" s="4" t="s">
        <v>82</v>
      </c>
      <c r="C44" s="7">
        <v>191339.41</v>
      </c>
      <c r="D44" s="7">
        <v>350000</v>
      </c>
      <c r="E44" s="6">
        <v>7</v>
      </c>
      <c r="F44" s="11">
        <v>1.829210197731873</v>
      </c>
    </row>
    <row r="45" spans="1:6">
      <c r="A45" s="4" t="s">
        <v>89</v>
      </c>
      <c r="B45" s="4" t="s">
        <v>83</v>
      </c>
      <c r="C45" s="7">
        <v>40721.37</v>
      </c>
      <c r="D45" s="7">
        <v>350000</v>
      </c>
      <c r="E45" s="6">
        <v>7</v>
      </c>
      <c r="F45" s="11">
        <v>8.594995698818581</v>
      </c>
    </row>
    <row r="46" spans="1:6">
      <c r="A46" s="4" t="s">
        <v>90</v>
      </c>
      <c r="B46" s="4" t="s">
        <v>80</v>
      </c>
      <c r="C46" s="7">
        <v>5924.02</v>
      </c>
      <c r="D46" s="7">
        <v>320000</v>
      </c>
      <c r="E46" s="6">
        <v>7</v>
      </c>
      <c r="F46" s="11">
        <v>54.01737333769974</v>
      </c>
    </row>
    <row r="47" spans="1:6">
      <c r="A47" s="4" t="s">
        <v>90</v>
      </c>
      <c r="B47" s="4" t="s">
        <v>81</v>
      </c>
      <c r="C47" s="7">
        <v>110745.25</v>
      </c>
      <c r="D47" s="7">
        <v>320000</v>
      </c>
      <c r="E47" s="6">
        <v>7</v>
      </c>
      <c r="F47" s="11">
        <v>2.88951444870096</v>
      </c>
    </row>
    <row r="48" spans="1:6">
      <c r="A48" s="4" t="s">
        <v>90</v>
      </c>
      <c r="B48" s="4" t="s">
        <v>82</v>
      </c>
      <c r="C48" s="7">
        <v>215566.47</v>
      </c>
      <c r="D48" s="7">
        <v>320000</v>
      </c>
      <c r="E48" s="6">
        <v>7</v>
      </c>
      <c r="F48" s="11">
        <v>1.484460918249485</v>
      </c>
    </row>
    <row r="49" spans="1:6">
      <c r="A49" s="4" t="s">
        <v>90</v>
      </c>
      <c r="B49" s="4" t="s">
        <v>83</v>
      </c>
      <c r="C49" s="7">
        <v>-37644.91</v>
      </c>
      <c r="D49" s="7">
        <v>320000</v>
      </c>
      <c r="E49" s="6">
        <v>7</v>
      </c>
      <c r="F49" s="11"/>
    </row>
    <row r="50" spans="1:6">
      <c r="A50" s="4" t="s">
        <v>33</v>
      </c>
      <c r="B50" s="4" t="s">
        <v>80</v>
      </c>
      <c r="C50" s="7">
        <v>10831.94</v>
      </c>
      <c r="D50" s="7">
        <v>140000</v>
      </c>
      <c r="E50" s="6">
        <v>3</v>
      </c>
      <c r="F50" s="11">
        <v>12.92473924338577</v>
      </c>
    </row>
    <row r="51" spans="1:6">
      <c r="A51" s="4" t="s">
        <v>33</v>
      </c>
      <c r="B51" s="4" t="s">
        <v>81</v>
      </c>
      <c r="C51" s="7">
        <v>64215.06</v>
      </c>
      <c r="D51" s="7">
        <v>140000</v>
      </c>
      <c r="E51" s="6">
        <v>3</v>
      </c>
      <c r="F51" s="11">
        <v>2.180173934276477</v>
      </c>
    </row>
    <row r="52" spans="1:6">
      <c r="A52" s="4" t="s">
        <v>33</v>
      </c>
      <c r="B52" s="4" t="s">
        <v>82</v>
      </c>
      <c r="C52" s="7">
        <v>117598.17</v>
      </c>
      <c r="D52" s="7">
        <v>140000</v>
      </c>
      <c r="E52" s="6">
        <v>3</v>
      </c>
      <c r="F52" s="11">
        <v>1.190494716031721</v>
      </c>
    </row>
    <row r="53" spans="1:6">
      <c r="A53" s="4" t="s">
        <v>33</v>
      </c>
      <c r="B53" s="4" t="s">
        <v>83</v>
      </c>
      <c r="C53" s="7">
        <v>37623.47</v>
      </c>
      <c r="D53" s="7">
        <v>140000</v>
      </c>
      <c r="E53" s="6">
        <v>3</v>
      </c>
      <c r="F53" s="11">
        <v>3.721081548299506</v>
      </c>
    </row>
    <row r="54" spans="1:6">
      <c r="A54" s="4" t="s">
        <v>91</v>
      </c>
      <c r="B54" s="4" t="s">
        <v>80</v>
      </c>
      <c r="C54" s="7">
        <v>42288.7</v>
      </c>
      <c r="D54" s="7">
        <v>235000</v>
      </c>
      <c r="E54" s="6">
        <v>5</v>
      </c>
      <c r="F54" s="11">
        <v>5.557040060347091</v>
      </c>
    </row>
    <row r="55" spans="1:6">
      <c r="A55" s="4" t="s">
        <v>91</v>
      </c>
      <c r="B55" s="4" t="s">
        <v>81</v>
      </c>
      <c r="C55" s="7">
        <v>159598</v>
      </c>
      <c r="D55" s="7">
        <v>235000</v>
      </c>
      <c r="E55" s="6">
        <v>5</v>
      </c>
      <c r="F55" s="11">
        <v>1.472449529442725</v>
      </c>
    </row>
    <row r="56" spans="1:6">
      <c r="A56" s="4" t="s">
        <v>91</v>
      </c>
      <c r="B56" s="4" t="s">
        <v>82</v>
      </c>
      <c r="C56" s="7">
        <v>276907.29</v>
      </c>
      <c r="D56" s="7">
        <v>235000</v>
      </c>
      <c r="E56" s="6">
        <v>5</v>
      </c>
      <c r="F56" s="11">
        <v>0.8486594917743047</v>
      </c>
    </row>
    <row r="57" spans="1:6">
      <c r="A57" s="4" t="s">
        <v>91</v>
      </c>
      <c r="B57" s="4" t="s">
        <v>83</v>
      </c>
      <c r="C57" s="7">
        <v>-203.48</v>
      </c>
      <c r="D57" s="7">
        <v>235000</v>
      </c>
      <c r="E57" s="6">
        <v>5</v>
      </c>
      <c r="F57" s="11"/>
    </row>
    <row r="58" spans="1:6">
      <c r="A58" s="4" t="s">
        <v>92</v>
      </c>
      <c r="B58" s="4" t="s">
        <v>80</v>
      </c>
      <c r="C58" s="7">
        <v>43994.29</v>
      </c>
      <c r="D58" s="7">
        <v>270000</v>
      </c>
      <c r="E58" s="6">
        <v>6</v>
      </c>
      <c r="F58" s="11">
        <v>6.137160072363936</v>
      </c>
    </row>
    <row r="59" spans="1:6">
      <c r="A59" s="4" t="s">
        <v>92</v>
      </c>
      <c r="B59" s="4" t="s">
        <v>81</v>
      </c>
      <c r="C59" s="7">
        <v>166931.43</v>
      </c>
      <c r="D59" s="7">
        <v>270000</v>
      </c>
      <c r="E59" s="6">
        <v>6</v>
      </c>
      <c r="F59" s="11">
        <v>1.617430582125847</v>
      </c>
    </row>
    <row r="60" spans="1:6">
      <c r="A60" s="4" t="s">
        <v>92</v>
      </c>
      <c r="B60" s="4" t="s">
        <v>82</v>
      </c>
      <c r="C60" s="7">
        <v>289868.56</v>
      </c>
      <c r="D60" s="7">
        <v>270000</v>
      </c>
      <c r="E60" s="6">
        <v>6</v>
      </c>
      <c r="F60" s="11">
        <v>0.9314566574588151</v>
      </c>
    </row>
    <row r="61" spans="1:6">
      <c r="A61" s="4" t="s">
        <v>92</v>
      </c>
      <c r="B61" s="4" t="s">
        <v>83</v>
      </c>
      <c r="C61" s="7">
        <v>107630.13</v>
      </c>
      <c r="D61" s="7">
        <v>270000</v>
      </c>
      <c r="E61" s="6">
        <v>6</v>
      </c>
      <c r="F61" s="11">
        <v>2.508591228125433</v>
      </c>
    </row>
    <row r="62" spans="1:6">
      <c r="A62" s="4" t="s">
        <v>93</v>
      </c>
      <c r="B62" s="4" t="s">
        <v>80</v>
      </c>
      <c r="C62" s="7">
        <v>36231.65</v>
      </c>
      <c r="D62" s="7">
        <v>250000</v>
      </c>
      <c r="E62" s="6">
        <v>6</v>
      </c>
      <c r="F62" s="11">
        <v>6.90004457428795</v>
      </c>
    </row>
    <row r="63" spans="1:6">
      <c r="A63" s="4" t="s">
        <v>93</v>
      </c>
      <c r="B63" s="4" t="s">
        <v>81</v>
      </c>
      <c r="C63" s="7">
        <v>147827.53</v>
      </c>
      <c r="D63" s="7">
        <v>250000</v>
      </c>
      <c r="E63" s="6">
        <v>6</v>
      </c>
      <c r="F63" s="11">
        <v>1.691159961882607</v>
      </c>
    </row>
    <row r="64" spans="1:6">
      <c r="A64" s="4" t="s">
        <v>93</v>
      </c>
      <c r="B64" s="4" t="s">
        <v>82</v>
      </c>
      <c r="C64" s="7">
        <v>259423.4</v>
      </c>
      <c r="D64" s="7">
        <v>250000</v>
      </c>
      <c r="E64" s="6">
        <v>6</v>
      </c>
      <c r="F64" s="11">
        <v>0.9636755974981439</v>
      </c>
    </row>
    <row r="65" spans="1:6">
      <c r="A65" s="4" t="s">
        <v>93</v>
      </c>
      <c r="B65" s="4" t="s">
        <v>83</v>
      </c>
      <c r="C65" s="7">
        <v>-3119.34</v>
      </c>
      <c r="D65" s="7">
        <v>250000</v>
      </c>
      <c r="E65" s="6">
        <v>6</v>
      </c>
      <c r="F65" s="11"/>
    </row>
    <row r="66" spans="1:6">
      <c r="A66" s="4" t="s">
        <v>34</v>
      </c>
      <c r="B66" s="4" t="s">
        <v>80</v>
      </c>
      <c r="C66" s="7">
        <v>25399.71</v>
      </c>
      <c r="D66" s="7">
        <v>110000</v>
      </c>
      <c r="E66" s="6">
        <v>3</v>
      </c>
      <c r="F66" s="11">
        <v>4.33075810708075</v>
      </c>
    </row>
    <row r="67" spans="1:6">
      <c r="A67" s="4" t="s">
        <v>34</v>
      </c>
      <c r="B67" s="4" t="s">
        <v>81</v>
      </c>
      <c r="C67" s="7">
        <v>83612.47</v>
      </c>
      <c r="D67" s="7">
        <v>110000</v>
      </c>
      <c r="E67" s="6">
        <v>3</v>
      </c>
      <c r="F67" s="11">
        <v>1.315593236272054</v>
      </c>
    </row>
    <row r="68" spans="1:6">
      <c r="A68" s="4" t="s">
        <v>34</v>
      </c>
      <c r="B68" s="4" t="s">
        <v>82</v>
      </c>
      <c r="C68" s="7">
        <v>141825.23</v>
      </c>
      <c r="D68" s="7">
        <v>110000</v>
      </c>
      <c r="E68" s="6">
        <v>3</v>
      </c>
      <c r="F68" s="11">
        <v>0.775602479192172</v>
      </c>
    </row>
    <row r="69" spans="1:6">
      <c r="A69" s="4" t="s">
        <v>34</v>
      </c>
      <c r="B69" s="4" t="s">
        <v>83</v>
      </c>
      <c r="C69" s="7">
        <v>-40742.81</v>
      </c>
      <c r="D69" s="7">
        <v>110000</v>
      </c>
      <c r="E69" s="6">
        <v>3</v>
      </c>
      <c r="F69" s="11"/>
    </row>
    <row r="70" spans="1:6">
      <c r="A70" s="4" t="s">
        <v>94</v>
      </c>
      <c r="B70" s="4" t="s">
        <v>80</v>
      </c>
      <c r="C70" s="7">
        <v>56856.47</v>
      </c>
      <c r="D70" s="7">
        <v>205000</v>
      </c>
      <c r="E70" s="6">
        <v>5</v>
      </c>
      <c r="F70" s="11">
        <v>3.605570307125996</v>
      </c>
    </row>
    <row r="71" spans="1:6">
      <c r="A71" s="4" t="s">
        <v>94</v>
      </c>
      <c r="B71" s="4" t="s">
        <v>81</v>
      </c>
      <c r="C71" s="7">
        <v>178995.41</v>
      </c>
      <c r="D71" s="7">
        <v>205000</v>
      </c>
      <c r="E71" s="6">
        <v>5</v>
      </c>
      <c r="F71" s="11">
        <v>1.145280764462061</v>
      </c>
    </row>
    <row r="72" spans="1:6">
      <c r="A72" s="4" t="s">
        <v>94</v>
      </c>
      <c r="B72" s="4" t="s">
        <v>82</v>
      </c>
      <c r="C72" s="7">
        <v>301134.35</v>
      </c>
      <c r="D72" s="7">
        <v>205000</v>
      </c>
      <c r="E72" s="6">
        <v>5</v>
      </c>
      <c r="F72" s="11">
        <v>0.6807592690770747</v>
      </c>
    </row>
    <row r="73" spans="1:6">
      <c r="A73" s="4" t="s">
        <v>94</v>
      </c>
      <c r="B73" s="4" t="s">
        <v>83</v>
      </c>
      <c r="C73" s="7">
        <v>-78569.75999999999</v>
      </c>
      <c r="D73" s="7">
        <v>205000</v>
      </c>
      <c r="E73" s="6">
        <v>5</v>
      </c>
      <c r="F73" s="11"/>
    </row>
    <row r="74" spans="1:6">
      <c r="A74" s="4" t="s">
        <v>95</v>
      </c>
      <c r="B74" s="4" t="s">
        <v>80</v>
      </c>
      <c r="C74" s="7">
        <v>58562.06</v>
      </c>
      <c r="D74" s="7">
        <v>240000</v>
      </c>
      <c r="E74" s="6">
        <v>6</v>
      </c>
      <c r="F74" s="11">
        <v>4.098216490335211</v>
      </c>
    </row>
    <row r="75" spans="1:6">
      <c r="A75" s="4" t="s">
        <v>95</v>
      </c>
      <c r="B75" s="4" t="s">
        <v>81</v>
      </c>
      <c r="C75" s="7">
        <v>186328.84</v>
      </c>
      <c r="D75" s="7">
        <v>240000</v>
      </c>
      <c r="E75" s="6">
        <v>6</v>
      </c>
      <c r="F75" s="11">
        <v>1.288045371827571</v>
      </c>
    </row>
    <row r="76" spans="1:6">
      <c r="A76" s="4" t="s">
        <v>95</v>
      </c>
      <c r="B76" s="4" t="s">
        <v>82</v>
      </c>
      <c r="C76" s="7">
        <v>314095.62</v>
      </c>
      <c r="D76" s="7">
        <v>240000</v>
      </c>
      <c r="E76" s="6">
        <v>6</v>
      </c>
      <c r="F76" s="11">
        <v>0.7640985251561292</v>
      </c>
    </row>
    <row r="77" spans="1:6">
      <c r="A77" s="4" t="s">
        <v>95</v>
      </c>
      <c r="B77" s="4" t="s">
        <v>83</v>
      </c>
      <c r="C77" s="7">
        <v>29263.85</v>
      </c>
      <c r="D77" s="7">
        <v>240000</v>
      </c>
      <c r="E77" s="6">
        <v>6</v>
      </c>
      <c r="F77" s="11">
        <v>8.201244880629172</v>
      </c>
    </row>
  </sheetData>
  <autoFilter ref="A5:F77"/>
  <mergeCells count="2">
    <mergeCell ref="A1:F1"/>
    <mergeCell ref="A2:F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5" width="20.7109375" customWidth="1"/>
    <col min="6" max="6" width="18.7109375" customWidth="1"/>
    <col min="7" max="7" width="12.7109375" customWidth="1"/>
    <col min="8" max="8" width="20.7109375" customWidth="1"/>
  </cols>
  <sheetData>
    <row r="1" spans="1:8" ht="31" customHeight="1">
      <c r="A1" s="1" t="s">
        <v>96</v>
      </c>
      <c r="B1" s="1"/>
      <c r="C1" s="1"/>
      <c r="D1" s="1"/>
      <c r="E1" s="1"/>
      <c r="F1" s="1"/>
      <c r="G1" s="1"/>
      <c r="H1" s="1"/>
    </row>
    <row r="2" spans="1:8" ht="23" customHeight="1">
      <c r="A2" s="2" t="s">
        <v>97</v>
      </c>
      <c r="B2" s="2"/>
      <c r="C2" s="2"/>
      <c r="D2" s="2"/>
      <c r="E2" s="2"/>
      <c r="F2" s="2"/>
      <c r="G2" s="2"/>
      <c r="H2" s="2"/>
    </row>
    <row r="3" spans="1:8" ht="21" customHeight="1">
      <c r="A3" s="2"/>
      <c r="B3" s="2"/>
      <c r="C3" s="2"/>
      <c r="D3" s="2"/>
      <c r="E3" s="2"/>
      <c r="F3" s="2"/>
      <c r="G3" s="2"/>
      <c r="H3" s="2"/>
    </row>
    <row r="5" spans="1:8" ht="34" customHeight="1">
      <c r="A5" s="3" t="s">
        <v>76</v>
      </c>
      <c r="B5" s="3" t="s">
        <v>98</v>
      </c>
      <c r="C5" s="3" t="s">
        <v>99</v>
      </c>
      <c r="D5" s="3" t="s">
        <v>100</v>
      </c>
      <c r="E5" s="3" t="s">
        <v>101</v>
      </c>
      <c r="F5" s="3" t="s">
        <v>70</v>
      </c>
      <c r="G5" s="3" t="s">
        <v>71</v>
      </c>
      <c r="H5" s="3" t="s">
        <v>102</v>
      </c>
    </row>
    <row r="6" spans="1:8">
      <c r="A6" s="4" t="s">
        <v>84</v>
      </c>
      <c r="B6" s="7">
        <v>64619.11</v>
      </c>
      <c r="C6" s="7">
        <v>198099.31</v>
      </c>
      <c r="D6" s="7">
        <v>331579.51</v>
      </c>
      <c r="E6" s="7">
        <v>32179.71</v>
      </c>
      <c r="F6" s="7">
        <v>225000</v>
      </c>
      <c r="G6" s="6">
        <v>5</v>
      </c>
      <c r="H6" s="11">
        <v>1.135793961119804</v>
      </c>
    </row>
    <row r="7" spans="1:8">
      <c r="A7" s="4" t="s">
        <v>95</v>
      </c>
      <c r="B7" s="7">
        <v>58562.06</v>
      </c>
      <c r="C7" s="7">
        <v>186328.84</v>
      </c>
      <c r="D7" s="7">
        <v>314095.62</v>
      </c>
      <c r="E7" s="7">
        <v>29263.85</v>
      </c>
      <c r="F7" s="7">
        <v>240000</v>
      </c>
      <c r="G7" s="6">
        <v>6</v>
      </c>
      <c r="H7" s="11">
        <v>1.288045371827571</v>
      </c>
    </row>
    <row r="8" spans="1:8">
      <c r="A8" s="4" t="s">
        <v>94</v>
      </c>
      <c r="B8" s="7">
        <v>56856.47</v>
      </c>
      <c r="C8" s="7">
        <v>178995.41</v>
      </c>
      <c r="D8" s="7">
        <v>301134.35</v>
      </c>
      <c r="E8" s="7">
        <v>-78569.75999999999</v>
      </c>
      <c r="F8" s="7">
        <v>205000</v>
      </c>
      <c r="G8" s="6">
        <v>5</v>
      </c>
      <c r="H8" s="11">
        <v>1.145280764462061</v>
      </c>
    </row>
    <row r="9" spans="1:8">
      <c r="A9" s="4" t="s">
        <v>92</v>
      </c>
      <c r="B9" s="7">
        <v>43994.29</v>
      </c>
      <c r="C9" s="7">
        <v>166931.43</v>
      </c>
      <c r="D9" s="7">
        <v>289868.56</v>
      </c>
      <c r="E9" s="7">
        <v>107630.13</v>
      </c>
      <c r="F9" s="7">
        <v>270000</v>
      </c>
      <c r="G9" s="6">
        <v>6</v>
      </c>
      <c r="H9" s="11">
        <v>1.617430582125847</v>
      </c>
    </row>
    <row r="10" spans="1:8">
      <c r="A10" s="4" t="s">
        <v>91</v>
      </c>
      <c r="B10" s="7">
        <v>42288.7</v>
      </c>
      <c r="C10" s="7">
        <v>159598</v>
      </c>
      <c r="D10" s="7">
        <v>276907.29</v>
      </c>
      <c r="E10" s="7">
        <v>-203.48</v>
      </c>
      <c r="F10" s="7">
        <v>235000</v>
      </c>
      <c r="G10" s="6">
        <v>5</v>
      </c>
      <c r="H10" s="11">
        <v>1.472449529442725</v>
      </c>
    </row>
    <row r="11" spans="1:8">
      <c r="A11" s="4" t="s">
        <v>93</v>
      </c>
      <c r="B11" s="7">
        <v>36231.65</v>
      </c>
      <c r="C11" s="7">
        <v>147827.53</v>
      </c>
      <c r="D11" s="7">
        <v>259423.4</v>
      </c>
      <c r="E11" s="7">
        <v>-3119.34</v>
      </c>
      <c r="F11" s="7">
        <v>250000</v>
      </c>
      <c r="G11" s="6">
        <v>6</v>
      </c>
      <c r="H11" s="11">
        <v>1.691159961882607</v>
      </c>
    </row>
    <row r="12" spans="1:8">
      <c r="A12" s="4" t="s">
        <v>88</v>
      </c>
      <c r="B12" s="7">
        <v>13686.66</v>
      </c>
      <c r="C12" s="7">
        <v>129849.15</v>
      </c>
      <c r="D12" s="7">
        <v>246011.63</v>
      </c>
      <c r="E12" s="7">
        <v>73104.56</v>
      </c>
      <c r="F12" s="7">
        <v>340000</v>
      </c>
      <c r="G12" s="6">
        <v>7</v>
      </c>
      <c r="H12" s="11">
        <v>2.618422993142427</v>
      </c>
    </row>
    <row r="13" spans="1:8">
      <c r="A13" s="4" t="s">
        <v>87</v>
      </c>
      <c r="B13" s="7">
        <v>11981.07</v>
      </c>
      <c r="C13" s="7">
        <v>122515.72</v>
      </c>
      <c r="D13" s="7">
        <v>233050.36</v>
      </c>
      <c r="E13" s="7">
        <v>-34729.05</v>
      </c>
      <c r="F13" s="7">
        <v>305000</v>
      </c>
      <c r="G13" s="6">
        <v>6</v>
      </c>
      <c r="H13" s="11">
        <v>2.489476452491158</v>
      </c>
    </row>
    <row r="14" spans="1:8">
      <c r="A14" s="4" t="s">
        <v>90</v>
      </c>
      <c r="B14" s="7">
        <v>5924.02</v>
      </c>
      <c r="C14" s="7">
        <v>110745.25</v>
      </c>
      <c r="D14" s="7">
        <v>215566.47</v>
      </c>
      <c r="E14" s="7">
        <v>-37644.91</v>
      </c>
      <c r="F14" s="7">
        <v>320000</v>
      </c>
      <c r="G14" s="6">
        <v>7</v>
      </c>
      <c r="H14" s="11">
        <v>2.88951444870096</v>
      </c>
    </row>
    <row r="15" spans="1:8">
      <c r="A15" s="4" t="s">
        <v>86</v>
      </c>
      <c r="B15" s="7">
        <v>-2549.1</v>
      </c>
      <c r="C15" s="7">
        <v>105471.58</v>
      </c>
      <c r="D15" s="7">
        <v>213492.26</v>
      </c>
      <c r="E15" s="7">
        <v>-51409.99</v>
      </c>
      <c r="F15" s="7">
        <v>375000</v>
      </c>
      <c r="G15" s="6">
        <v>7</v>
      </c>
      <c r="H15" s="11">
        <v>3.555460153341782</v>
      </c>
    </row>
    <row r="16" spans="1:8">
      <c r="A16" s="4" t="s">
        <v>36</v>
      </c>
      <c r="B16" s="7">
        <v>33162.35</v>
      </c>
      <c r="C16" s="7">
        <v>102716.37</v>
      </c>
      <c r="D16" s="7">
        <v>172270.39</v>
      </c>
      <c r="E16" s="7">
        <v>70006.66</v>
      </c>
      <c r="F16" s="7">
        <v>130000</v>
      </c>
      <c r="G16" s="6">
        <v>3</v>
      </c>
      <c r="H16" s="11">
        <v>1.265621049497758</v>
      </c>
    </row>
    <row r="17" spans="1:8">
      <c r="A17" s="4" t="s">
        <v>35</v>
      </c>
      <c r="B17" s="7">
        <v>31456.76</v>
      </c>
      <c r="C17" s="7">
        <v>95382.94</v>
      </c>
      <c r="D17" s="7">
        <v>159309.12</v>
      </c>
      <c r="E17" s="7">
        <v>-37826.95</v>
      </c>
      <c r="F17" s="7">
        <v>95000</v>
      </c>
      <c r="G17" s="6">
        <v>2</v>
      </c>
      <c r="H17" s="11">
        <v>0.9959852359342247</v>
      </c>
    </row>
    <row r="18" spans="1:8">
      <c r="A18" s="4" t="s">
        <v>89</v>
      </c>
      <c r="B18" s="7">
        <v>-8643.75</v>
      </c>
      <c r="C18" s="7">
        <v>91347.84</v>
      </c>
      <c r="D18" s="7">
        <v>191339.41</v>
      </c>
      <c r="E18" s="7">
        <v>40721.37</v>
      </c>
      <c r="F18" s="7">
        <v>350000</v>
      </c>
      <c r="G18" s="6">
        <v>7</v>
      </c>
      <c r="H18" s="11">
        <v>3.831508221759814</v>
      </c>
    </row>
    <row r="19" spans="1:8">
      <c r="A19" s="4" t="s">
        <v>34</v>
      </c>
      <c r="B19" s="7">
        <v>25399.71</v>
      </c>
      <c r="C19" s="7">
        <v>83612.47</v>
      </c>
      <c r="D19" s="7">
        <v>141825.23</v>
      </c>
      <c r="E19" s="7">
        <v>-40742.81</v>
      </c>
      <c r="F19" s="7">
        <v>110000</v>
      </c>
      <c r="G19" s="6">
        <v>3</v>
      </c>
      <c r="H19" s="11">
        <v>1.315593236272054</v>
      </c>
    </row>
    <row r="20" spans="1:8">
      <c r="A20" s="4" t="s">
        <v>33</v>
      </c>
      <c r="B20" s="7">
        <v>10831.94</v>
      </c>
      <c r="C20" s="7">
        <v>64215.06</v>
      </c>
      <c r="D20" s="7">
        <v>117598.17</v>
      </c>
      <c r="E20" s="7">
        <v>37623.47</v>
      </c>
      <c r="F20" s="7">
        <v>140000</v>
      </c>
      <c r="G20" s="6">
        <v>3</v>
      </c>
      <c r="H20" s="11">
        <v>2.180173934276477</v>
      </c>
    </row>
    <row r="21" spans="1:8">
      <c r="A21" s="4" t="s">
        <v>32</v>
      </c>
      <c r="B21" s="7">
        <v>-19475.69</v>
      </c>
      <c r="C21" s="7">
        <v>27132.78</v>
      </c>
      <c r="D21" s="7">
        <v>73741.24000000001</v>
      </c>
      <c r="E21" s="7">
        <v>3097.9</v>
      </c>
      <c r="F21" s="7">
        <v>210000</v>
      </c>
      <c r="G21" s="6">
        <v>4</v>
      </c>
      <c r="H21" s="11">
        <v>7.7397155765093</v>
      </c>
    </row>
    <row r="22" spans="1:8">
      <c r="A22" s="4" t="s">
        <v>31</v>
      </c>
      <c r="B22" s="7">
        <v>-34005.86</v>
      </c>
      <c r="C22" s="7">
        <v>10088.64</v>
      </c>
      <c r="D22" s="7">
        <v>54183.14</v>
      </c>
      <c r="E22" s="7">
        <v>-13583.04</v>
      </c>
      <c r="F22" s="7">
        <v>280000</v>
      </c>
      <c r="G22" s="6">
        <v>5</v>
      </c>
      <c r="H22" s="11">
        <v>27.75398864465379</v>
      </c>
    </row>
    <row r="23" spans="1:8">
      <c r="A23" s="4" t="s">
        <v>85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6">
        <v>0</v>
      </c>
      <c r="H23" s="11"/>
    </row>
  </sheetData>
  <autoFilter ref="A5:H23"/>
  <mergeCells count="2">
    <mergeCell ref="A1:H1"/>
    <mergeCell ref="A2:H3"/>
  </mergeCells>
  <conditionalFormatting sqref="E6:E23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9.7109375" customWidth="1"/>
    <col min="2" max="2" width="100.7109375" customWidth="1"/>
  </cols>
  <sheetData>
    <row r="1" spans="1:3" ht="31" customHeight="1">
      <c r="A1" s="1" t="s">
        <v>103</v>
      </c>
      <c r="B1" s="1"/>
      <c r="C1" s="1"/>
    </row>
    <row r="2" spans="1:3" ht="23" customHeight="1">
      <c r="A2" s="2" t="s">
        <v>104</v>
      </c>
      <c r="B2" s="2"/>
      <c r="C2" s="2"/>
    </row>
    <row r="3" spans="1:3" ht="21" customHeight="1">
      <c r="A3" s="2"/>
      <c r="B3" s="2"/>
      <c r="C3" s="2"/>
    </row>
    <row r="5" spans="1:3" ht="34" customHeight="1">
      <c r="A5" s="3" t="s">
        <v>105</v>
      </c>
      <c r="B5" s="3" t="s">
        <v>106</v>
      </c>
    </row>
    <row r="6" spans="1:3">
      <c r="A6" s="4" t="s">
        <v>107</v>
      </c>
      <c r="B6" s="5">
        <v>1328</v>
      </c>
    </row>
    <row r="7" spans="1:3">
      <c r="A7" s="4" t="s">
        <v>108</v>
      </c>
      <c r="B7" s="5">
        <v>1297</v>
      </c>
    </row>
    <row r="8" spans="1:3">
      <c r="A8" s="4" t="s">
        <v>109</v>
      </c>
      <c r="B8" s="5">
        <v>13</v>
      </c>
    </row>
    <row r="9" spans="1:3">
      <c r="A9" s="4" t="s">
        <v>110</v>
      </c>
      <c r="B9" s="5">
        <v>18</v>
      </c>
    </row>
    <row r="10" spans="1:3">
      <c r="A10" s="4" t="s">
        <v>111</v>
      </c>
      <c r="B10" s="5">
        <v>24</v>
      </c>
    </row>
    <row r="11" spans="1:3">
      <c r="A11" s="4" t="s">
        <v>112</v>
      </c>
      <c r="B11" s="5">
        <v>18</v>
      </c>
    </row>
    <row r="12" spans="1:3">
      <c r="A12" s="4" t="s">
        <v>113</v>
      </c>
      <c r="B12" s="5">
        <v>1</v>
      </c>
    </row>
    <row r="13" spans="1:3">
      <c r="A13" s="4" t="s">
        <v>114</v>
      </c>
      <c r="B13" s="5">
        <v>1254</v>
      </c>
    </row>
    <row r="14" spans="1:3">
      <c r="A14" s="4" t="s">
        <v>115</v>
      </c>
      <c r="B14" s="5">
        <v>12</v>
      </c>
    </row>
    <row r="15" spans="1:3">
      <c r="A15" s="4" t="s">
        <v>116</v>
      </c>
      <c r="B15" s="5">
        <v>264</v>
      </c>
    </row>
    <row r="16" spans="1:3">
      <c r="A16" s="4" t="s">
        <v>117</v>
      </c>
      <c r="B16" s="5">
        <v>243</v>
      </c>
    </row>
    <row r="17" spans="1:2">
      <c r="A17" s="4" t="s">
        <v>118</v>
      </c>
      <c r="B17" s="5">
        <v>20</v>
      </c>
    </row>
    <row r="18" spans="1:2">
      <c r="A18" s="4" t="s">
        <v>119</v>
      </c>
      <c r="B18" s="5">
        <v>1</v>
      </c>
    </row>
    <row r="19" spans="1:2">
      <c r="A19" s="4" t="s">
        <v>120</v>
      </c>
      <c r="B19" s="5">
        <v>1</v>
      </c>
    </row>
    <row r="20" spans="1:2">
      <c r="A20" s="4" t="s">
        <v>121</v>
      </c>
      <c r="B20" s="5">
        <v>1</v>
      </c>
    </row>
    <row r="21" spans="1:2">
      <c r="A21" s="4" t="s">
        <v>122</v>
      </c>
      <c r="B21" s="5">
        <v>241</v>
      </c>
    </row>
    <row r="22" spans="1:2">
      <c r="A22" s="4" t="s">
        <v>29</v>
      </c>
      <c r="B22" s="5">
        <v>1081</v>
      </c>
    </row>
    <row r="23" spans="1:2">
      <c r="A23" s="4" t="s">
        <v>123</v>
      </c>
      <c r="B23" s="5">
        <v>481</v>
      </c>
    </row>
    <row r="24" spans="1:2">
      <c r="A24" s="4" t="s">
        <v>124</v>
      </c>
      <c r="B24" s="5">
        <v>24</v>
      </c>
    </row>
    <row r="25" spans="1:2">
      <c r="A25" s="4" t="s">
        <v>125</v>
      </c>
      <c r="B25" s="5">
        <v>0</v>
      </c>
    </row>
    <row r="26" spans="1:2">
      <c r="A26" s="4" t="s">
        <v>126</v>
      </c>
      <c r="B26" s="5">
        <v>0</v>
      </c>
    </row>
    <row r="27" spans="1:2">
      <c r="A27" s="4" t="s">
        <v>127</v>
      </c>
      <c r="B27" s="5">
        <v>0</v>
      </c>
    </row>
    <row r="28" spans="1:2">
      <c r="A28" s="4" t="s">
        <v>128</v>
      </c>
      <c r="B28" s="5">
        <v>0</v>
      </c>
    </row>
    <row r="29" spans="1:2">
      <c r="A29" s="4" t="s">
        <v>129</v>
      </c>
      <c r="B29" s="5">
        <v>0</v>
      </c>
    </row>
    <row r="30" spans="1:2">
      <c r="A30" s="4" t="s">
        <v>130</v>
      </c>
      <c r="B30" s="5">
        <v>0</v>
      </c>
    </row>
    <row r="31" spans="1:2">
      <c r="A31" s="4" t="s">
        <v>131</v>
      </c>
      <c r="B31" s="5" t="s">
        <v>132</v>
      </c>
    </row>
    <row r="32" spans="1:2">
      <c r="A32" s="4" t="s">
        <v>133</v>
      </c>
      <c r="B32" s="5" t="s">
        <v>134</v>
      </c>
    </row>
    <row r="33" spans="1:2">
      <c r="A33" s="4" t="s">
        <v>135</v>
      </c>
      <c r="B33" s="5" t="s">
        <v>136</v>
      </c>
    </row>
  </sheetData>
  <autoFilter ref="A5:B33"/>
  <mergeCells count="2">
    <mergeCell ref="A1:C1"/>
    <mergeCell ref="A2:C3"/>
  </mergeCell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5.7109375" customWidth="1"/>
    <col min="2" max="2" width="25.7109375" customWidth="1"/>
    <col min="3" max="3" width="38.7109375" customWidth="1"/>
    <col min="4" max="4" width="34.7109375" customWidth="1"/>
    <col min="5" max="6" width="30.7109375" customWidth="1"/>
    <col min="7" max="7" width="85.7109375" customWidth="1"/>
    <col min="8" max="8" width="69.7109375" customWidth="1"/>
  </cols>
  <sheetData>
    <row r="1" spans="1:8" ht="31" customHeight="1">
      <c r="A1" s="1" t="s">
        <v>137</v>
      </c>
      <c r="B1" s="1"/>
      <c r="C1" s="1"/>
      <c r="D1" s="1"/>
      <c r="E1" s="1"/>
      <c r="F1" s="1"/>
      <c r="G1" s="1"/>
      <c r="H1" s="1"/>
    </row>
    <row r="2" spans="1:8" ht="23" customHeight="1">
      <c r="A2" s="2" t="s">
        <v>138</v>
      </c>
      <c r="B2" s="2"/>
      <c r="C2" s="2"/>
      <c r="D2" s="2"/>
      <c r="E2" s="2"/>
      <c r="F2" s="2"/>
      <c r="G2" s="2"/>
      <c r="H2" s="2"/>
    </row>
    <row r="3" spans="1:8" ht="21" customHeight="1">
      <c r="A3" s="2"/>
      <c r="B3" s="2"/>
      <c r="C3" s="2"/>
      <c r="D3" s="2"/>
      <c r="E3" s="2"/>
      <c r="F3" s="2"/>
      <c r="G3" s="2"/>
      <c r="H3" s="2"/>
    </row>
    <row r="5" spans="1:8" ht="34" customHeight="1">
      <c r="A5" s="3" t="s">
        <v>139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  <c r="H5" s="3" t="s">
        <v>146</v>
      </c>
    </row>
    <row r="6" spans="1:8">
      <c r="A6" s="5" t="s">
        <v>147</v>
      </c>
      <c r="B6" s="5" t="s">
        <v>148</v>
      </c>
      <c r="C6" s="5" t="s">
        <v>149</v>
      </c>
      <c r="D6" s="5" t="s">
        <v>150</v>
      </c>
      <c r="E6" s="5" t="s">
        <v>151</v>
      </c>
      <c r="F6" s="5"/>
      <c r="G6" s="5"/>
      <c r="H6" s="5" t="s">
        <v>152</v>
      </c>
    </row>
    <row r="7" spans="1:8">
      <c r="A7" s="5" t="s">
        <v>153</v>
      </c>
      <c r="B7" s="5" t="s">
        <v>154</v>
      </c>
      <c r="C7" s="5" t="s">
        <v>155</v>
      </c>
      <c r="D7" s="5" t="s">
        <v>156</v>
      </c>
      <c r="E7" s="5" t="s">
        <v>157</v>
      </c>
      <c r="F7" s="5"/>
      <c r="G7" s="5"/>
      <c r="H7" s="5" t="s">
        <v>158</v>
      </c>
    </row>
    <row r="8" spans="1:8">
      <c r="A8" s="5" t="s">
        <v>159</v>
      </c>
      <c r="B8" s="5" t="s">
        <v>154</v>
      </c>
      <c r="C8" s="5" t="s">
        <v>160</v>
      </c>
      <c r="D8" s="5" t="s">
        <v>161</v>
      </c>
      <c r="E8" s="5" t="s">
        <v>162</v>
      </c>
      <c r="F8" s="5"/>
      <c r="G8" s="5"/>
      <c r="H8" s="5" t="s">
        <v>163</v>
      </c>
    </row>
    <row r="9" spans="1:8">
      <c r="A9" s="5" t="s">
        <v>164</v>
      </c>
      <c r="B9" s="5" t="s">
        <v>154</v>
      </c>
      <c r="C9" s="5" t="s">
        <v>165</v>
      </c>
      <c r="D9" s="5" t="s">
        <v>166</v>
      </c>
      <c r="E9" s="5" t="s">
        <v>167</v>
      </c>
      <c r="F9" s="5"/>
      <c r="G9" s="5"/>
      <c r="H9" s="5" t="s">
        <v>168</v>
      </c>
    </row>
    <row r="10" spans="1:8">
      <c r="A10" s="5" t="s">
        <v>169</v>
      </c>
      <c r="B10" s="5" t="s">
        <v>154</v>
      </c>
      <c r="C10" s="5" t="s">
        <v>165</v>
      </c>
      <c r="D10" s="5" t="s">
        <v>166</v>
      </c>
      <c r="E10" s="5" t="s">
        <v>170</v>
      </c>
      <c r="F10" s="5"/>
      <c r="G10" s="5"/>
      <c r="H10" s="5" t="s">
        <v>171</v>
      </c>
    </row>
    <row r="11" spans="1:8">
      <c r="A11" s="5" t="s">
        <v>172</v>
      </c>
      <c r="B11" s="5" t="s">
        <v>154</v>
      </c>
      <c r="C11" s="5" t="s">
        <v>173</v>
      </c>
      <c r="D11" s="5" t="s">
        <v>174</v>
      </c>
      <c r="E11" s="5" t="s">
        <v>175</v>
      </c>
      <c r="F11" s="5"/>
      <c r="G11" s="5"/>
      <c r="H11" s="5" t="s">
        <v>176</v>
      </c>
    </row>
    <row r="12" spans="1:8">
      <c r="A12" s="5" t="s">
        <v>177</v>
      </c>
      <c r="B12" s="5" t="s">
        <v>154</v>
      </c>
      <c r="C12" s="5" t="s">
        <v>178</v>
      </c>
      <c r="D12" s="5" t="s">
        <v>179</v>
      </c>
      <c r="E12" s="5" t="s">
        <v>180</v>
      </c>
      <c r="F12" s="5"/>
      <c r="G12" s="5"/>
      <c r="H12" s="5" t="s">
        <v>181</v>
      </c>
    </row>
    <row r="13" spans="1:8">
      <c r="A13" s="5" t="s">
        <v>182</v>
      </c>
      <c r="B13" s="5" t="s">
        <v>154</v>
      </c>
      <c r="C13" s="5" t="s">
        <v>183</v>
      </c>
      <c r="D13" s="5" t="s">
        <v>174</v>
      </c>
      <c r="E13" s="5" t="s">
        <v>184</v>
      </c>
      <c r="F13" s="5"/>
      <c r="G13" s="5"/>
      <c r="H13" s="5" t="s">
        <v>185</v>
      </c>
    </row>
    <row r="14" spans="1:8">
      <c r="A14" s="5" t="s">
        <v>186</v>
      </c>
      <c r="B14" s="5" t="s">
        <v>154</v>
      </c>
      <c r="C14" s="5" t="s">
        <v>187</v>
      </c>
      <c r="D14" s="5" t="s">
        <v>161</v>
      </c>
      <c r="E14" s="5" t="s">
        <v>188</v>
      </c>
      <c r="F14" s="5"/>
      <c r="G14" s="5"/>
      <c r="H14" s="5" t="s">
        <v>189</v>
      </c>
    </row>
    <row r="15" spans="1:8">
      <c r="A15" s="5" t="s">
        <v>190</v>
      </c>
      <c r="B15" s="5" t="s">
        <v>191</v>
      </c>
      <c r="C15" s="5" t="s">
        <v>192</v>
      </c>
      <c r="D15" s="5" t="s">
        <v>193</v>
      </c>
      <c r="E15" s="5" t="s">
        <v>194</v>
      </c>
      <c r="F15" s="5" t="s">
        <v>195</v>
      </c>
      <c r="G15" s="5" t="s">
        <v>196</v>
      </c>
      <c r="H15" s="5" t="s">
        <v>197</v>
      </c>
    </row>
    <row r="16" spans="1:8">
      <c r="A16" s="5" t="s">
        <v>198</v>
      </c>
      <c r="B16" s="5" t="s">
        <v>191</v>
      </c>
      <c r="C16" s="5" t="s">
        <v>199</v>
      </c>
      <c r="D16" s="5" t="s">
        <v>193</v>
      </c>
      <c r="E16" s="5" t="s">
        <v>200</v>
      </c>
      <c r="F16" s="5" t="s">
        <v>201</v>
      </c>
      <c r="G16" s="5" t="s">
        <v>202</v>
      </c>
      <c r="H16" s="5" t="s">
        <v>203</v>
      </c>
    </row>
    <row r="17" spans="1:8">
      <c r="A17" s="5" t="s">
        <v>204</v>
      </c>
      <c r="B17" s="5" t="s">
        <v>191</v>
      </c>
      <c r="C17" s="5" t="s">
        <v>205</v>
      </c>
      <c r="D17" s="5" t="s">
        <v>206</v>
      </c>
      <c r="E17" s="5" t="s">
        <v>207</v>
      </c>
      <c r="F17" s="5" t="s">
        <v>208</v>
      </c>
      <c r="G17" s="5" t="s">
        <v>209</v>
      </c>
      <c r="H17" s="5" t="s">
        <v>210</v>
      </c>
    </row>
    <row r="18" spans="1:8">
      <c r="A18" s="5" t="s">
        <v>211</v>
      </c>
      <c r="B18" s="5" t="s">
        <v>191</v>
      </c>
      <c r="C18" s="5" t="s">
        <v>205</v>
      </c>
      <c r="D18" s="5" t="s">
        <v>206</v>
      </c>
      <c r="E18" s="5" t="s">
        <v>212</v>
      </c>
      <c r="F18" s="5" t="s">
        <v>208</v>
      </c>
      <c r="G18" s="5" t="s">
        <v>209</v>
      </c>
      <c r="H18" s="5" t="s">
        <v>213</v>
      </c>
    </row>
    <row r="19" spans="1:8">
      <c r="A19" s="5" t="s">
        <v>214</v>
      </c>
      <c r="B19" s="5" t="s">
        <v>148</v>
      </c>
      <c r="C19" s="5" t="s">
        <v>215</v>
      </c>
      <c r="D19" s="5" t="s">
        <v>216</v>
      </c>
      <c r="E19" s="5" t="s">
        <v>217</v>
      </c>
      <c r="F19" s="5"/>
      <c r="G19" s="5"/>
      <c r="H19" s="5" t="s">
        <v>218</v>
      </c>
    </row>
  </sheetData>
  <autoFilter ref="A5:H19"/>
  <mergeCells count="2">
    <mergeCell ref="A1:H1"/>
    <mergeCell ref="A2:H3"/>
  </mergeCells>
  <hyperlinks>
    <hyperlink ref="G15" r:id="rId1"/>
    <hyperlink ref="G16" r:id="rId2"/>
    <hyperlink ref="G17" r:id="rId3"/>
    <hyperlink ref="G18" r:id="rId4"/>
  </hyperlinks>
  <pageMargins left="0.7" right="0.7" top="0.75" bottom="0.75" header="0.3" footer="0.3"/>
  <pageSetup fitToHeight="0" orientation="landscape"/>
  <headerFooter>
    <oddHeader>&amp;CMeridian Parts | Board analysis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Annual</vt:lpstr>
      <vt:lpstr>Monthly</vt:lpstr>
      <vt:lpstr>FX</vt:lpstr>
      <vt:lpstr>Market context</vt:lpstr>
      <vt:lpstr>Hub inputs</vt:lpstr>
      <vt:lpstr>Scenarios</vt:lpstr>
      <vt:lpstr>Decision</vt:lpstr>
      <vt:lpstr>Quality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Meridian Parts European hub decision</dc:title>
  <dc:subject>2025 shipment reconciliation and hub scenarios</dc:subject>
  <dc:creator>Operations analysis</dc:creator>
  <cp:lastModifiedBy>Operations analysis</cp:lastModifiedBy>
  <dcterms:created xsi:type="dcterms:W3CDTF">2026-09-27T10:25:27Z</dcterms:created>
  <dcterms:modified xsi:type="dcterms:W3CDTF">2026-09-27T10:25:27Z</dcterms:modified>
</cp:coreProperties>
</file>
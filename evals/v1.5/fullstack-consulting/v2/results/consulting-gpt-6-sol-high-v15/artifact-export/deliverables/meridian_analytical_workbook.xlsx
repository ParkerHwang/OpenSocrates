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dashboard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Country 2025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FX monthly" sheetId="5" state="visible" r:id="rId5"/>
    <sheet xmlns:r="http://schemas.openxmlformats.org/officeDocument/2006/relationships" name="Market context" sheetId="6" state="visible" r:id="rId6"/>
    <sheet xmlns:r="http://schemas.openxmlformats.org/officeDocument/2006/relationships" name="Single hubs" sheetId="7" state="visible" r:id="rId7"/>
    <sheet xmlns:r="http://schemas.openxmlformats.org/officeDocument/2006/relationships" name="All combinations" sheetId="8" state="visible" r:id="rId8"/>
    <sheet xmlns:r="http://schemas.openxmlformats.org/officeDocument/2006/relationships" name="Feasible scenarios" sheetId="9" state="visible" r:id="rId9"/>
    <sheet xmlns:r="http://schemas.openxmlformats.org/officeDocument/2006/relationships" name="Quality notes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2" hidden="1">'Country 2025'!$A$3:$K$9</definedName>
    <definedName name="_xlnm._FilterDatabase" localSheetId="3" hidden="1">'Monthly'!$A$3:$L$75</definedName>
    <definedName name="_xlnm._FilterDatabase" localSheetId="4" hidden="1">'FX monthly'!$A$3:$D$27</definedName>
    <definedName name="_xlnm._FilterDatabase" localSheetId="5" hidden="1">'Market context'!$A$3:$D$21</definedName>
    <definedName name="_xlnm._FilterDatabase" localSheetId="6" hidden="1">'Single hubs'!$A$3:$F$27</definedName>
    <definedName name="_xlnm._FilterDatabase" localSheetId="7" hidden="1">'All combinations'!$A$3:$G$91</definedName>
    <definedName name="_xlnm._FilterDatabase" localSheetId="8" hidden="1">'Feasible scenarios'!$A$3:$F$75</definedName>
    <definedName name="_xlnm._FilterDatabase" localSheetId="9" hidden="1">'Quality notes'!$A$3:$B$28</definedName>
    <definedName name="_xlnm._FilterDatabase" localSheetId="10" hidden="1">'Sources'!$A$3:$J$16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€&quot;#,##0"/>
    <numFmt numFmtId="165" formatCode="#,##0.00;[Red](#,##0.00);–"/>
    <numFmt numFmtId="166" formatCode="#,##0;[Red](#,##0);–"/>
    <numFmt numFmtId="167" formatCode="0.0%;[Red](0.0%);–"/>
    <numFmt numFmtId="168" formatCode="0.00000000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b val="1"/>
      <color rgb="00142840"/>
      <sz val="14"/>
    </font>
    <font>
      <name val="Aptos"/>
      <b val="1"/>
      <color rgb="005F6F7D"/>
      <sz val="10"/>
    </font>
    <font>
      <name val="Aptos Display"/>
      <b val="1"/>
      <color rgb="00087F8C"/>
      <sz val="17"/>
    </font>
    <font>
      <name val="Aptos"/>
      <color rgb="00223447"/>
      <sz val="10"/>
    </font>
    <font>
      <name val="Aptos"/>
      <b val="1"/>
      <color rgb="00FFFFFF"/>
      <sz val="10"/>
    </font>
    <font>
      <name val="Aptos"/>
      <b val="1"/>
      <color rgb="00142840"/>
      <sz val="10"/>
    </font>
    <font>
      <name val="Aptos Display"/>
      <b val="1"/>
      <color rgb="00FFFFFF"/>
      <sz val="18"/>
    </font>
    <font>
      <name val="Aptos"/>
      <b val="1"/>
      <color rgb="00142840"/>
      <sz val="11"/>
    </font>
  </fonts>
  <fills count="6">
    <fill>
      <patternFill/>
    </fill>
    <fill>
      <patternFill patternType="gray125"/>
    </fill>
    <fill>
      <patternFill patternType="solid">
        <fgColor rgb="00142840"/>
      </patternFill>
    </fill>
    <fill>
      <patternFill patternType="solid">
        <fgColor rgb="00EAF4F5"/>
      </patternFill>
    </fill>
    <fill>
      <patternFill patternType="solid">
        <fgColor rgb="00F4F7FA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164" fontId="4" fillId="0" borderId="0" applyAlignment="1" pivotButton="0" quotePrefix="0" xfId="0">
      <alignment vertical="center"/>
    </xf>
    <xf numFmtId="0" fontId="6" fillId="5" borderId="0" pivotButton="0" quotePrefix="0" xfId="0"/>
    <xf numFmtId="0" fontId="5" fillId="4" borderId="0" pivotButton="0" quotePrefix="0" xfId="0"/>
    <xf numFmtId="165" fontId="5" fillId="4" borderId="0" pivotButton="0" quotePrefix="0" xfId="0"/>
    <xf numFmtId="0" fontId="5" fillId="3" borderId="0" pivotButton="0" quotePrefix="0" xfId="0"/>
    <xf numFmtId="165" fontId="5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8" fillId="2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/>
    </xf>
    <xf numFmtId="166" fontId="5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167" fontId="5" fillId="4" borderId="0" applyAlignment="1" pivotButton="0" quotePrefix="0" xfId="0">
      <alignment vertical="center"/>
    </xf>
    <xf numFmtId="165" fontId="0" fillId="0" borderId="0" pivotButton="0" quotePrefix="0" xfId="0"/>
    <xf numFmtId="0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8" fontId="5" fillId="4" borderId="0" applyAlignment="1" pivotButton="0" quotePrefix="0" xfId="0">
      <alignment vertical="center"/>
    </xf>
    <xf numFmtId="168" fontId="5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incremental contribution: base vs stress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'Decision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dashboard'!$A$13:$A$17</f>
            </numRef>
          </cat>
          <val>
            <numRef>
              <f>'Decision dashboard'!$B$13:$B$17</f>
            </numRef>
          </val>
        </ser>
        <ser>
          <idx val="1"/>
          <order val="1"/>
          <tx>
            <strRef>
              <f>'Decision 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'Decision dashboard'!$A$13:$A$17</f>
            </numRef>
          </cat>
          <val>
            <numRef>
              <f>'Decision dashboard'!$C$13:$C$17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/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contribution by country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'Country 2025'!I3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2025'!$A$4:$A$9</f>
            </numRef>
          </cat>
          <val>
            <numRef>
              <f>'Country 2025'!$I$4:$I$9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zoomScale="85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7" customWidth="1" min="4" max="4"/>
    <col width="13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4" customHeight="1">
      <c r="A1" s="1" t="inlineStr">
        <is>
          <t>MERIDIAN PARTS  |  European service hubs</t>
        </is>
      </c>
    </row>
    <row r="2" ht="23" customHeight="1"/>
    <row r="4">
      <c r="A4" s="2" t="inlineStr">
        <is>
          <t>Recommendation: fund Spain first; reserve Czechia subject to a day-60 gate. Combined ceiling: €225,000 capex / 5 FTE.</t>
        </is>
      </c>
    </row>
    <row r="5"/>
    <row r="7">
      <c r="A7" s="3" t="inlineStr">
        <is>
          <t>2025 contribution</t>
        </is>
      </c>
      <c r="D7" s="3" t="inlineStr">
        <is>
          <t>CZE+ESP base / year</t>
        </is>
      </c>
      <c r="G7" s="3" t="inlineStr">
        <is>
          <t>CZE+ESP stress / year</t>
        </is>
      </c>
      <c r="J7" s="3" t="inlineStr">
        <is>
          <t>NLD+ESP stress / year</t>
        </is>
      </c>
    </row>
    <row r="8">
      <c r="A8" s="4" t="n">
        <v>2030010.48</v>
      </c>
      <c r="D8" s="4" t="n">
        <v>198099.31</v>
      </c>
      <c r="G8" s="4" t="n">
        <v>32179.71</v>
      </c>
      <c r="J8" s="4" t="n">
        <v>107630.13</v>
      </c>
    </row>
    <row r="9"/>
    <row r="12">
      <c r="A12" s="5" t="inlineStr">
        <is>
          <t>Option</t>
        </is>
      </c>
      <c r="B12" s="5" t="inlineStr">
        <is>
          <t>Base €/year</t>
        </is>
      </c>
      <c r="C12" s="5" t="inlineStr">
        <is>
          <t>Stress €/year</t>
        </is>
      </c>
      <c r="D12" s="5" t="inlineStr">
        <is>
          <t>Capex €</t>
        </is>
      </c>
      <c r="E12" s="5" t="inlineStr">
        <is>
          <t>FTE</t>
        </is>
      </c>
      <c r="F12" s="5" t="inlineStr">
        <is>
          <t>Base payback y</t>
        </is>
      </c>
    </row>
    <row r="13">
      <c r="A13" s="6" t="inlineStr">
        <is>
          <t>CZE+ESP</t>
        </is>
      </c>
      <c r="B13" s="7" t="n">
        <v>198099.31</v>
      </c>
      <c r="C13" s="7" t="n">
        <v>32179.71</v>
      </c>
      <c r="D13" s="7" t="n">
        <v>225000</v>
      </c>
      <c r="E13" s="6" t="n">
        <v>5</v>
      </c>
      <c r="F13" s="6" t="n">
        <v>1.136</v>
      </c>
    </row>
    <row r="14">
      <c r="A14" s="8" t="inlineStr">
        <is>
          <t>POL+ESP</t>
        </is>
      </c>
      <c r="B14" s="9" t="n">
        <v>186328.84</v>
      </c>
      <c r="C14" s="9" t="n">
        <v>29263.85</v>
      </c>
      <c r="D14" s="9" t="n">
        <v>240000</v>
      </c>
      <c r="E14" s="8" t="n">
        <v>6</v>
      </c>
      <c r="F14" s="8" t="n">
        <v>1.288</v>
      </c>
    </row>
    <row r="15">
      <c r="A15" s="6" t="inlineStr">
        <is>
          <t>NLD+ESP</t>
        </is>
      </c>
      <c r="B15" s="7" t="n">
        <v>166931.43</v>
      </c>
      <c r="C15" s="7" t="n">
        <v>107630.13</v>
      </c>
      <c r="D15" s="7" t="n">
        <v>270000</v>
      </c>
      <c r="E15" s="6" t="n">
        <v>6</v>
      </c>
      <c r="F15" s="6" t="n">
        <v>1.617</v>
      </c>
    </row>
    <row r="16">
      <c r="A16" s="8" t="inlineStr">
        <is>
          <t>ESP</t>
        </is>
      </c>
      <c r="B16" s="9" t="n">
        <v>102716.37</v>
      </c>
      <c r="C16" s="9" t="n">
        <v>70006.66</v>
      </c>
      <c r="D16" s="9" t="n">
        <v>130000</v>
      </c>
      <c r="E16" s="8" t="n">
        <v>3</v>
      </c>
      <c r="F16" s="8" t="n">
        <v>1.266</v>
      </c>
    </row>
    <row r="17">
      <c r="A17" s="6" t="inlineStr">
        <is>
          <t>DEFER</t>
        </is>
      </c>
      <c r="B17" s="7" t="n">
        <v>0</v>
      </c>
      <c r="C17" s="7" t="n">
        <v>0</v>
      </c>
      <c r="D17" s="7" t="n">
        <v>0</v>
      </c>
      <c r="E17" s="6" t="n">
        <v>0</v>
      </c>
      <c r="F17" s="6" t="n"/>
    </row>
    <row r="20">
      <c r="A20" s="10" t="inlineStr">
        <is>
          <t>Hard constraints</t>
        </is>
      </c>
      <c r="B20" s="11" t="inlineStr">
        <is>
          <t>≤2 hubs | ≤€450,000 capex | ≤7 FTE</t>
        </is>
      </c>
    </row>
    <row r="21">
      <c r="A21" s="10" t="inlineStr">
        <is>
          <t>Model scope</t>
        </is>
      </c>
      <c r="B21" s="11" t="inlineStr">
        <is>
          <t>Annual incremental contribution excludes year-zero capex; simple payback is undiscounted.</t>
        </is>
      </c>
    </row>
    <row r="22">
      <c r="A22" s="10" t="inlineStr">
        <is>
          <t>Evidence state</t>
        </is>
      </c>
      <c r="B22" s="11" t="inlineStr">
        <is>
          <t>2025 client transactions and hub inputs are synthetic; ECB/WB series are archived official observations.</t>
        </is>
      </c>
    </row>
    <row r="23">
      <c r="A23" s="10" t="inlineStr">
        <is>
          <t>Decision limit</t>
        </is>
      </c>
      <c r="B23" s="11" t="inlineStr">
        <is>
          <t>Volume uplift and saving assumptions are unvalidated; stress is deterministic, not a probability.</t>
        </is>
      </c>
    </row>
  </sheetData>
  <mergeCells count="14">
    <mergeCell ref="J7:L7"/>
    <mergeCell ref="A1:N2"/>
    <mergeCell ref="B21:L21"/>
    <mergeCell ref="A4:N5"/>
    <mergeCell ref="B23:L23"/>
    <mergeCell ref="A8:C9"/>
    <mergeCell ref="B20:L20"/>
    <mergeCell ref="G8:I9"/>
    <mergeCell ref="J8:L9"/>
    <mergeCell ref="B22:L22"/>
    <mergeCell ref="D7:F7"/>
    <mergeCell ref="A7:C7"/>
    <mergeCell ref="G7:I7"/>
    <mergeCell ref="D8:F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2" t="inlineStr">
        <is>
          <t>MODEL GUIDE</t>
        </is>
      </c>
    </row>
    <row r="3" ht="35" customHeight="1">
      <c r="A3" s="13" t="inlineStr">
        <is>
          <t>Scope</t>
        </is>
      </c>
      <c r="B3" s="14" t="inlineStr">
        <is>
          <t>2025 shipped order cohort; returns known through 2026-01-31 inclusive and assigned to original sale month.</t>
        </is>
      </c>
    </row>
    <row r="4" ht="35" customHeight="1">
      <c r="A4" s="13" t="inlineStr">
        <is>
          <t>Accounting</t>
        </is>
      </c>
      <c r="B4" s="14" t="inlineStr">
        <is>
          <t>Highest numeric revision wins. Identical repeats collapse. Cancelled, tests, and January 2026 shipments are excluded. Free shipments remain.</t>
        </is>
      </c>
    </row>
    <row r="5" ht="35" customHeight="1">
      <c r="A5" s="13" t="inlineStr">
        <is>
          <t>Order rounding</t>
        </is>
      </c>
      <c r="B5" s="14" t="inlineStr">
        <is>
          <t>Gross, summed refunds, gross COGS, recovered COGS, and fulfillment are rounded per order to cents, half up; then summed.</t>
        </is>
      </c>
    </row>
    <row r="6" ht="35" customHeight="1">
      <c r="A6" s="13" t="inlineStr">
        <is>
          <t>FX</t>
        </is>
      </c>
      <c r="B6" s="14" t="inlineStr">
        <is>
          <t>ECB quote is local units per EUR. Use the original shipment month's arithmetic mean of available 2025 business-day observations; EUR = 1.</t>
        </is>
      </c>
    </row>
    <row r="7" ht="35" customHeight="1">
      <c r="A7" s="13" t="inlineStr">
        <is>
          <t>Contribution</t>
        </is>
      </c>
      <c r="B7" s="14" t="inlineStr">
        <is>
          <t>Net sales less net COGS and actual nonrefundable fulfillment. No hub fixed cost is included in the 2025 base.</t>
        </is>
      </c>
    </row>
    <row r="8" ht="35" customHeight="1">
      <c r="A8" s="13" t="inlineStr">
        <is>
          <t>Hub annual model</t>
        </is>
      </c>
      <c r="B8" s="14" t="inlineStr">
        <is>
          <t>Low/base/high: C*u + U*(1+u)*saving - annual fixed, u=10%/25%/40%.</t>
        </is>
      </c>
    </row>
    <row r="9" ht="35" customHeight="1">
      <c r="A9" s="13" t="inlineStr">
        <is>
          <t>Stress</t>
        </is>
      </c>
      <c r="B9" s="14" t="inlineStr">
        <is>
          <t>(C - 3%*G - 10%*N for PLN/CZK)*1.25 - C + U*1.25*saving - annual fixed; no additional COGS recovery.</t>
        </is>
      </c>
    </row>
    <row r="10" ht="35" customHeight="1">
      <c r="A10" s="13" t="inlineStr">
        <is>
          <t>Pair rule</t>
        </is>
      </c>
      <c r="B10" s="14" t="inlineStr">
        <is>
          <t>Country annual contributions, capex and FTE add; no synergy. Year-zero capex is separate from recurring annual contribution.</t>
        </is>
      </c>
    </row>
    <row r="11" ht="35" customHeight="1">
      <c r="A11" s="13" t="inlineStr">
        <is>
          <t>Payback</t>
        </is>
      </c>
      <c r="B11" s="14" t="inlineStr">
        <is>
          <t>Year-zero capex / positive annual incremental contribution; undiscounted; blank when contribution ≤0 or defer.</t>
        </is>
      </c>
    </row>
    <row r="12" ht="35" customHeight="1">
      <c r="A12" s="13" t="inlineStr">
        <is>
          <t>Status</t>
        </is>
      </c>
      <c r="B12" s="14" t="inlineStr">
        <is>
          <t>Client sales, costs and hub assumptions are synthetic. World Bank and ECB are frozen official-series archives, not live queries by this analysis.</t>
        </is>
      </c>
    </row>
    <row r="13" ht="35" customHeight="1">
      <c r="A13" s="13" t="inlineStr">
        <is>
          <t>Reproducibility</t>
        </is>
      </c>
      <c r="B13" s="14" t="inlineStr">
        <is>
          <t>Run python analysis/build.py then python analysis/publish.py from the project root. Order-level ledger and audits are in evidence/.</t>
        </is>
      </c>
    </row>
    <row r="14" ht="35" customHeight="1">
      <c r="A14" s="13" t="inlineStr">
        <is>
          <t>Workbook use</t>
        </is>
      </c>
      <c r="B14" s="14" t="inlineStr">
        <is>
          <t>Filter Monthly or All combinations; compare sources and quality tabs. Country reconciliation formulas should calculate to zero in Excel.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20" customWidth="1" min="4" max="4"/>
    <col width="18" customWidth="1" min="5" max="5"/>
    <col width="20" customWidth="1" min="6" max="6"/>
    <col width="19" customWidth="1" min="7" max="7"/>
    <col width="20" customWidth="1" min="8" max="8"/>
    <col width="21" customWidth="1" min="9" max="9"/>
    <col width="18" customWidth="1" min="10" max="10"/>
    <col width="13" customWidth="1" min="11" max="11"/>
    <col width="31" customWidth="1" min="13" max="13"/>
  </cols>
  <sheetData>
    <row r="1" ht="32" customHeight="1">
      <c r="A1" s="15" t="inlineStr">
        <is>
          <t>2025 shipped contribution by country</t>
        </is>
      </c>
    </row>
    <row r="3" ht="30" customHeight="1">
      <c r="A3" s="16" t="inlineStr">
        <is>
          <t>Country</t>
        </is>
      </c>
      <c r="B3" s="16" t="inlineStr">
        <is>
          <t>Shipped orders</t>
        </is>
      </c>
      <c r="C3" s="16" t="inlineStr">
        <is>
          <t>Shipped units</t>
        </is>
      </c>
      <c r="D3" s="16" t="inlineStr">
        <is>
          <t>Gross sales EUR</t>
        </is>
      </c>
      <c r="E3" s="16" t="inlineStr">
        <is>
          <t>Refunds EUR</t>
        </is>
      </c>
      <c r="F3" s="16" t="inlineStr">
        <is>
          <t>Net sales EUR</t>
        </is>
      </c>
      <c r="G3" s="16" t="inlineStr">
        <is>
          <t>Net COGS EUR</t>
        </is>
      </c>
      <c r="H3" s="16" t="inlineStr">
        <is>
          <t>Fulfillment EUR</t>
        </is>
      </c>
      <c r="I3" s="16" t="inlineStr">
        <is>
          <t>Contribution EUR</t>
        </is>
      </c>
      <c r="J3" s="16" t="inlineStr">
        <is>
          <t>Returned units</t>
        </is>
      </c>
      <c r="K3" s="16" t="inlineStr">
        <is>
          <t>Margin</t>
        </is>
      </c>
      <c r="M3" s="5" t="inlineStr">
        <is>
          <t>Monthly contribution reconciliation</t>
        </is>
      </c>
    </row>
    <row r="4">
      <c r="A4" s="17" t="inlineStr">
        <is>
          <t>DEU</t>
        </is>
      </c>
      <c r="B4" s="18" t="n">
        <v>209</v>
      </c>
      <c r="C4" s="18" t="n">
        <v>12153</v>
      </c>
      <c r="D4" s="19" t="n">
        <v>631244.76</v>
      </c>
      <c r="E4" s="19" t="n">
        <v>5453</v>
      </c>
      <c r="F4" s="19" t="n">
        <v>625791.76</v>
      </c>
      <c r="G4" s="19" t="n">
        <v>349980.5</v>
      </c>
      <c r="H4" s="19" t="n">
        <v>13445.7</v>
      </c>
      <c r="I4" s="19" t="n">
        <v>262365.56</v>
      </c>
      <c r="J4" s="18" t="n">
        <v>73</v>
      </c>
      <c r="K4" s="20" t="n">
        <v>0.4192537786052025</v>
      </c>
      <c r="M4" s="21">
        <f>SUMIF(Monthly!$A$4:$A$75,A4,Monthly!$J$4:$J$75)-I4</f>
        <v/>
      </c>
    </row>
    <row r="5">
      <c r="A5" s="22" t="inlineStr">
        <is>
          <t>FRA</t>
        </is>
      </c>
      <c r="B5" s="23" t="n">
        <v>209</v>
      </c>
      <c r="C5" s="23" t="n">
        <v>11880</v>
      </c>
      <c r="D5" s="24" t="n">
        <v>640929.9399999999</v>
      </c>
      <c r="E5" s="24" t="n">
        <v>8699.040000000001</v>
      </c>
      <c r="F5" s="24" t="n">
        <v>632230.9</v>
      </c>
      <c r="G5" s="24" t="n">
        <v>341453</v>
      </c>
      <c r="H5" s="24" t="n">
        <v>14506.8</v>
      </c>
      <c r="I5" s="24" t="n">
        <v>276271.1</v>
      </c>
      <c r="J5" s="23" t="n">
        <v>144</v>
      </c>
      <c r="K5" s="25" t="n">
        <v>0.4369781673119741</v>
      </c>
      <c r="M5" s="21">
        <f>SUMIF(Monthly!$A$4:$A$75,A5,Monthly!$J$4:$J$75)-I5</f>
        <v/>
      </c>
    </row>
    <row r="6">
      <c r="A6" s="17" t="inlineStr">
        <is>
          <t>NLD</t>
        </is>
      </c>
      <c r="B6" s="18" t="n">
        <v>209</v>
      </c>
      <c r="C6" s="18" t="n">
        <v>12576</v>
      </c>
      <c r="D6" s="19" t="n">
        <v>709108.84</v>
      </c>
      <c r="E6" s="19" t="n">
        <v>11376</v>
      </c>
      <c r="F6" s="19" t="n">
        <v>697732.84</v>
      </c>
      <c r="G6" s="19" t="n">
        <v>365495.5</v>
      </c>
      <c r="H6" s="19" t="n">
        <v>16593.12</v>
      </c>
      <c r="I6" s="19" t="n">
        <v>315644.22</v>
      </c>
      <c r="J6" s="18" t="n">
        <v>144</v>
      </c>
      <c r="K6" s="20" t="n">
        <v>0.4523855004445541</v>
      </c>
      <c r="M6" s="21">
        <f>SUMIF(Monthly!$A$4:$A$75,A6,Monthly!$J$4:$J$75)-I6</f>
        <v/>
      </c>
    </row>
    <row r="7">
      <c r="A7" s="22" t="inlineStr">
        <is>
          <t>POL</t>
        </is>
      </c>
      <c r="B7" s="23" t="n">
        <v>209</v>
      </c>
      <c r="C7" s="23" t="n">
        <v>13163</v>
      </c>
      <c r="D7" s="24" t="n">
        <v>776507.79</v>
      </c>
      <c r="E7" s="24" t="n">
        <v>14617.92</v>
      </c>
      <c r="F7" s="24" t="n">
        <v>761889.87</v>
      </c>
      <c r="G7" s="24" t="n">
        <v>386697.5</v>
      </c>
      <c r="H7" s="24" t="n">
        <v>18698.49</v>
      </c>
      <c r="I7" s="24" t="n">
        <v>356493.88</v>
      </c>
      <c r="J7" s="23" t="n">
        <v>180</v>
      </c>
      <c r="K7" s="25" t="n">
        <v>0.4679073630418528</v>
      </c>
      <c r="M7" s="21">
        <f>SUMIF(Monthly!$A$4:$A$75,A7,Monthly!$J$4:$J$75)-I7</f>
        <v/>
      </c>
    </row>
    <row r="8">
      <c r="A8" s="17" t="inlineStr">
        <is>
          <t>CZE</t>
        </is>
      </c>
      <c r="B8" s="18" t="n">
        <v>209</v>
      </c>
      <c r="C8" s="18" t="n">
        <v>13733</v>
      </c>
      <c r="D8" s="19" t="n">
        <v>834572.08</v>
      </c>
      <c r="E8" s="19" t="n">
        <v>19264.61</v>
      </c>
      <c r="F8" s="19" t="n">
        <v>815307.47</v>
      </c>
      <c r="G8" s="19" t="n">
        <v>397062</v>
      </c>
      <c r="H8" s="19" t="n">
        <v>20910.22</v>
      </c>
      <c r="I8" s="19" t="n">
        <v>397335.25</v>
      </c>
      <c r="J8" s="18" t="n">
        <v>288</v>
      </c>
      <c r="K8" s="20" t="n">
        <v>0.4873440568378455</v>
      </c>
      <c r="M8" s="21">
        <f>SUMIF(Monthly!$A$4:$A$75,A8,Monthly!$J$4:$J$75)-I8</f>
        <v/>
      </c>
    </row>
    <row r="9">
      <c r="A9" s="22" t="inlineStr">
        <is>
          <t>ESP</t>
        </is>
      </c>
      <c r="B9" s="23" t="n">
        <v>209</v>
      </c>
      <c r="C9" s="23" t="n">
        <v>13931</v>
      </c>
      <c r="D9" s="24" t="n">
        <v>872258.92</v>
      </c>
      <c r="E9" s="24" t="n">
        <v>21420</v>
      </c>
      <c r="F9" s="24" t="n">
        <v>850838.92</v>
      </c>
      <c r="G9" s="24" t="n">
        <v>406230.5</v>
      </c>
      <c r="H9" s="24" t="n">
        <v>22707.95</v>
      </c>
      <c r="I9" s="24" t="n">
        <v>421900.47</v>
      </c>
      <c r="J9" s="23" t="n">
        <v>252</v>
      </c>
      <c r="K9" s="25" t="n">
        <v>0.4958640937581934</v>
      </c>
      <c r="M9" s="21">
        <f>SUMIF(Monthly!$A$4:$A$75,A9,Monthly!$J$4:$J$75)-I9</f>
        <v/>
      </c>
    </row>
  </sheetData>
  <autoFilter ref="A3:K9"/>
  <mergeCells count="1">
    <mergeCell ref="A1:K1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7" customWidth="1" min="4" max="4"/>
    <col width="20" customWidth="1" min="5" max="5"/>
    <col width="18" customWidth="1" min="6" max="6"/>
    <col width="20" customWidth="1" min="7" max="7"/>
    <col width="19" customWidth="1" min="8" max="8"/>
    <col width="20" customWidth="1" min="9" max="9"/>
    <col width="21" customWidth="1" min="10" max="10"/>
    <col width="18" customWidth="1" min="11" max="11"/>
    <col width="13" customWidth="1" min="12" max="12"/>
  </cols>
  <sheetData>
    <row r="1" ht="32" customHeight="1">
      <c r="A1" s="15" t="inlineStr">
        <is>
          <t>Monthly 2025 shipped-cohort accounting | sale month</t>
        </is>
      </c>
    </row>
    <row r="3" ht="30" customHeight="1">
      <c r="A3" s="16" t="inlineStr">
        <is>
          <t>Country</t>
        </is>
      </c>
      <c r="B3" s="16" t="inlineStr">
        <is>
          <t>Month</t>
        </is>
      </c>
      <c r="C3" s="16" t="inlineStr">
        <is>
          <t>Shipped orders</t>
        </is>
      </c>
      <c r="D3" s="16" t="inlineStr">
        <is>
          <t>Shipped units</t>
        </is>
      </c>
      <c r="E3" s="16" t="inlineStr">
        <is>
          <t>Gross sales EUR</t>
        </is>
      </c>
      <c r="F3" s="16" t="inlineStr">
        <is>
          <t>Refunds EUR</t>
        </is>
      </c>
      <c r="G3" s="16" t="inlineStr">
        <is>
          <t>Net sales EUR</t>
        </is>
      </c>
      <c r="H3" s="16" t="inlineStr">
        <is>
          <t>Net COGS EUR</t>
        </is>
      </c>
      <c r="I3" s="16" t="inlineStr">
        <is>
          <t>Fulfillment EUR</t>
        </is>
      </c>
      <c r="J3" s="16" t="inlineStr">
        <is>
          <t>Contribution EUR</t>
        </is>
      </c>
      <c r="K3" s="16" t="inlineStr">
        <is>
          <t>Returned units</t>
        </is>
      </c>
      <c r="L3" s="16" t="inlineStr">
        <is>
          <t>Margin</t>
        </is>
      </c>
    </row>
    <row r="4">
      <c r="A4" s="17" t="inlineStr">
        <is>
          <t>CZE</t>
        </is>
      </c>
      <c r="B4" s="17" t="inlineStr">
        <is>
          <t>2025-01</t>
        </is>
      </c>
      <c r="C4" s="18" t="n">
        <v>18</v>
      </c>
      <c r="D4" s="18" t="n">
        <v>1275</v>
      </c>
      <c r="E4" s="19" t="n">
        <v>80923.92</v>
      </c>
      <c r="F4" s="19" t="n">
        <v>1575.03</v>
      </c>
      <c r="G4" s="19" t="n">
        <v>79348.89</v>
      </c>
      <c r="H4" s="19" t="n">
        <v>38637.5</v>
      </c>
      <c r="I4" s="19" t="n">
        <v>1924.5</v>
      </c>
      <c r="J4" s="19" t="n">
        <v>38786.89</v>
      </c>
      <c r="K4" s="18" t="n">
        <v>24</v>
      </c>
      <c r="L4" s="20" t="n">
        <v>0.4888145253197619</v>
      </c>
    </row>
    <row r="5">
      <c r="A5" s="22" t="inlineStr">
        <is>
          <t>CZE</t>
        </is>
      </c>
      <c r="B5" s="22" t="inlineStr">
        <is>
          <t>2025-02</t>
        </is>
      </c>
      <c r="C5" s="23" t="n">
        <v>18</v>
      </c>
      <c r="D5" s="23" t="n">
        <v>1150</v>
      </c>
      <c r="E5" s="24" t="n">
        <v>68815.72</v>
      </c>
      <c r="F5" s="24" t="n">
        <v>1580.47</v>
      </c>
      <c r="G5" s="24" t="n">
        <v>67235.25</v>
      </c>
      <c r="H5" s="24" t="n">
        <v>32466.5</v>
      </c>
      <c r="I5" s="24" t="n">
        <v>1757</v>
      </c>
      <c r="J5" s="24" t="n">
        <v>33011.75</v>
      </c>
      <c r="K5" s="23" t="n">
        <v>24</v>
      </c>
      <c r="L5" s="25" t="n">
        <v>0.4909887298701202</v>
      </c>
    </row>
    <row r="6">
      <c r="A6" s="17" t="inlineStr">
        <is>
          <t>CZE</t>
        </is>
      </c>
      <c r="B6" s="17" t="inlineStr">
        <is>
          <t>2025-03</t>
        </is>
      </c>
      <c r="C6" s="18" t="n">
        <v>17</v>
      </c>
      <c r="D6" s="18" t="n">
        <v>1203</v>
      </c>
      <c r="E6" s="19" t="n">
        <v>69678.77</v>
      </c>
      <c r="F6" s="19" t="n">
        <v>1585.22</v>
      </c>
      <c r="G6" s="19" t="n">
        <v>68093.55</v>
      </c>
      <c r="H6" s="19" t="n">
        <v>33971</v>
      </c>
      <c r="I6" s="19" t="n">
        <v>1816.02</v>
      </c>
      <c r="J6" s="19" t="n">
        <v>32306.53</v>
      </c>
      <c r="K6" s="18" t="n">
        <v>24</v>
      </c>
      <c r="L6" s="20" t="n">
        <v>0.4744433209900203</v>
      </c>
    </row>
    <row r="7">
      <c r="A7" s="22" t="inlineStr">
        <is>
          <t>CZE</t>
        </is>
      </c>
      <c r="B7" s="22" t="inlineStr">
        <is>
          <t>2025-04</t>
        </is>
      </c>
      <c r="C7" s="23" t="n">
        <v>17</v>
      </c>
      <c r="D7" s="23" t="n">
        <v>968</v>
      </c>
      <c r="E7" s="24" t="n">
        <v>54976.29</v>
      </c>
      <c r="F7" s="24" t="n">
        <v>1582.85</v>
      </c>
      <c r="G7" s="24" t="n">
        <v>53393.44</v>
      </c>
      <c r="H7" s="24" t="n">
        <v>25378.5</v>
      </c>
      <c r="I7" s="24" t="n">
        <v>1501.12</v>
      </c>
      <c r="J7" s="24" t="n">
        <v>26513.82</v>
      </c>
      <c r="K7" s="23" t="n">
        <v>24</v>
      </c>
      <c r="L7" s="25" t="n">
        <v>0.4965744855547798</v>
      </c>
    </row>
    <row r="8">
      <c r="A8" s="17" t="inlineStr">
        <is>
          <t>CZE</t>
        </is>
      </c>
      <c r="B8" s="17" t="inlineStr">
        <is>
          <t>2025-05</t>
        </is>
      </c>
      <c r="C8" s="18" t="n">
        <v>18</v>
      </c>
      <c r="D8" s="18" t="n">
        <v>1167</v>
      </c>
      <c r="E8" s="19" t="n">
        <v>74278.85000000001</v>
      </c>
      <c r="F8" s="19" t="n">
        <v>1590.21</v>
      </c>
      <c r="G8" s="19" t="n">
        <v>72688.64</v>
      </c>
      <c r="H8" s="19" t="n">
        <v>34927</v>
      </c>
      <c r="I8" s="19" t="n">
        <v>1779.78</v>
      </c>
      <c r="J8" s="19" t="n">
        <v>35981.86</v>
      </c>
      <c r="K8" s="18" t="n">
        <v>24</v>
      </c>
      <c r="L8" s="20" t="n">
        <v>0.4950135261851095</v>
      </c>
    </row>
    <row r="9">
      <c r="A9" s="22" t="inlineStr">
        <is>
          <t>CZE</t>
        </is>
      </c>
      <c r="B9" s="22" t="inlineStr">
        <is>
          <t>2025-06</t>
        </is>
      </c>
      <c r="C9" s="23" t="n">
        <v>17</v>
      </c>
      <c r="D9" s="23" t="n">
        <v>1087</v>
      </c>
      <c r="E9" s="24" t="n">
        <v>62183.71</v>
      </c>
      <c r="F9" s="24" t="n">
        <v>1597.82</v>
      </c>
      <c r="G9" s="24" t="n">
        <v>60585.89</v>
      </c>
      <c r="H9" s="24" t="n">
        <v>28600</v>
      </c>
      <c r="I9" s="24" t="n">
        <v>1660.58</v>
      </c>
      <c r="J9" s="24" t="n">
        <v>30325.31</v>
      </c>
      <c r="K9" s="23" t="n">
        <v>24</v>
      </c>
      <c r="L9" s="25" t="n">
        <v>0.5005342002898695</v>
      </c>
    </row>
    <row r="10">
      <c r="A10" s="17" t="inlineStr">
        <is>
          <t>CZE</t>
        </is>
      </c>
      <c r="B10" s="17" t="inlineStr">
        <is>
          <t>2025-07</t>
        </is>
      </c>
      <c r="C10" s="18" t="n">
        <v>18</v>
      </c>
      <c r="D10" s="18" t="n">
        <v>1060</v>
      </c>
      <c r="E10" s="19" t="n">
        <v>62273.5</v>
      </c>
      <c r="F10" s="19" t="n">
        <v>1609.48</v>
      </c>
      <c r="G10" s="19" t="n">
        <v>60664.02</v>
      </c>
      <c r="H10" s="19" t="n">
        <v>29576.5</v>
      </c>
      <c r="I10" s="19" t="n">
        <v>1636.4</v>
      </c>
      <c r="J10" s="19" t="n">
        <v>29451.12</v>
      </c>
      <c r="K10" s="18" t="n">
        <v>24</v>
      </c>
      <c r="L10" s="20" t="n">
        <v>0.4854792016750621</v>
      </c>
    </row>
    <row r="11">
      <c r="A11" s="22" t="inlineStr">
        <is>
          <t>CZE</t>
        </is>
      </c>
      <c r="B11" s="22" t="inlineStr">
        <is>
          <t>2025-08</t>
        </is>
      </c>
      <c r="C11" s="23" t="n">
        <v>17</v>
      </c>
      <c r="D11" s="23" t="n">
        <v>1153</v>
      </c>
      <c r="E11" s="24" t="n">
        <v>71200.34</v>
      </c>
      <c r="F11" s="24" t="n">
        <v>1616.58</v>
      </c>
      <c r="G11" s="24" t="n">
        <v>69583.75999999999</v>
      </c>
      <c r="H11" s="24" t="n">
        <v>33797.5</v>
      </c>
      <c r="I11" s="24" t="n">
        <v>1749.02</v>
      </c>
      <c r="J11" s="24" t="n">
        <v>34037.24</v>
      </c>
      <c r="K11" s="23" t="n">
        <v>24</v>
      </c>
      <c r="L11" s="25" t="n">
        <v>0.4891549407505429</v>
      </c>
    </row>
    <row r="12">
      <c r="A12" s="17" t="inlineStr">
        <is>
          <t>CZE</t>
        </is>
      </c>
      <c r="B12" s="17" t="inlineStr">
        <is>
          <t>2025-09</t>
        </is>
      </c>
      <c r="C12" s="18" t="n">
        <v>17</v>
      </c>
      <c r="D12" s="18" t="n">
        <v>1104</v>
      </c>
      <c r="E12" s="19" t="n">
        <v>63760.08</v>
      </c>
      <c r="F12" s="19" t="n">
        <v>1627.86</v>
      </c>
      <c r="G12" s="19" t="n">
        <v>62132.22</v>
      </c>
      <c r="H12" s="19" t="n">
        <v>31863</v>
      </c>
      <c r="I12" s="19" t="n">
        <v>1683.36</v>
      </c>
      <c r="J12" s="19" t="n">
        <v>28585.86</v>
      </c>
      <c r="K12" s="18" t="n">
        <v>24</v>
      </c>
      <c r="L12" s="20" t="n">
        <v>0.4600810980196748</v>
      </c>
    </row>
    <row r="13">
      <c r="A13" s="22" t="inlineStr">
        <is>
          <t>CZE</t>
        </is>
      </c>
      <c r="B13" s="22" t="inlineStr">
        <is>
          <t>2025-10</t>
        </is>
      </c>
      <c r="C13" s="23" t="n">
        <v>18</v>
      </c>
      <c r="D13" s="23" t="n">
        <v>1288</v>
      </c>
      <c r="E13" s="24" t="n">
        <v>83858.3</v>
      </c>
      <c r="F13" s="24" t="n">
        <v>1629.94</v>
      </c>
      <c r="G13" s="24" t="n">
        <v>82228.36</v>
      </c>
      <c r="H13" s="24" t="n">
        <v>39989.5</v>
      </c>
      <c r="I13" s="24" t="n">
        <v>1941.92</v>
      </c>
      <c r="J13" s="24" t="n">
        <v>40296.94</v>
      </c>
      <c r="K13" s="23" t="n">
        <v>24</v>
      </c>
      <c r="L13" s="25" t="n">
        <v>0.4900613365023941</v>
      </c>
    </row>
    <row r="14">
      <c r="A14" s="17" t="inlineStr">
        <is>
          <t>CZE</t>
        </is>
      </c>
      <c r="B14" s="17" t="inlineStr">
        <is>
          <t>2025-11</t>
        </is>
      </c>
      <c r="C14" s="18" t="n">
        <v>18</v>
      </c>
      <c r="D14" s="18" t="n">
        <v>1189</v>
      </c>
      <c r="E14" s="19" t="n">
        <v>74614.67</v>
      </c>
      <c r="F14" s="19" t="n">
        <v>1635.43</v>
      </c>
      <c r="G14" s="19" t="n">
        <v>72979.24000000001</v>
      </c>
      <c r="H14" s="19" t="n">
        <v>35663.5</v>
      </c>
      <c r="I14" s="19" t="n">
        <v>1809.26</v>
      </c>
      <c r="J14" s="19" t="n">
        <v>35506.48</v>
      </c>
      <c r="K14" s="18" t="n">
        <v>24</v>
      </c>
      <c r="L14" s="20" t="n">
        <v>0.4865284976933166</v>
      </c>
    </row>
    <row r="15">
      <c r="A15" s="22" t="inlineStr">
        <is>
          <t>CZE</t>
        </is>
      </c>
      <c r="B15" s="22" t="inlineStr">
        <is>
          <t>2025-12</t>
        </is>
      </c>
      <c r="C15" s="23" t="n">
        <v>16</v>
      </c>
      <c r="D15" s="23" t="n">
        <v>1089</v>
      </c>
      <c r="E15" s="24" t="n">
        <v>68007.92999999999</v>
      </c>
      <c r="F15" s="24" t="n">
        <v>1633.72</v>
      </c>
      <c r="G15" s="24" t="n">
        <v>66374.21000000001</v>
      </c>
      <c r="H15" s="24" t="n">
        <v>32191.5</v>
      </c>
      <c r="I15" s="24" t="n">
        <v>1651.26</v>
      </c>
      <c r="J15" s="24" t="n">
        <v>32531.45</v>
      </c>
      <c r="K15" s="23" t="n">
        <v>24</v>
      </c>
      <c r="L15" s="25" t="n">
        <v>0.4901218409981829</v>
      </c>
    </row>
    <row r="16">
      <c r="A16" s="17" t="inlineStr">
        <is>
          <t>DEU</t>
        </is>
      </c>
      <c r="B16" s="17" t="inlineStr">
        <is>
          <t>2025-01</t>
        </is>
      </c>
      <c r="C16" s="18" t="n">
        <v>18</v>
      </c>
      <c r="D16" s="18" t="n">
        <v>962</v>
      </c>
      <c r="E16" s="19" t="n">
        <v>48962.64</v>
      </c>
      <c r="F16" s="19" t="n">
        <v>449</v>
      </c>
      <c r="G16" s="19" t="n">
        <v>48513.64</v>
      </c>
      <c r="H16" s="19" t="n">
        <v>26373</v>
      </c>
      <c r="I16" s="19" t="n">
        <v>1081.8</v>
      </c>
      <c r="J16" s="19" t="n">
        <v>21058.84</v>
      </c>
      <c r="K16" s="18" t="n">
        <v>6</v>
      </c>
      <c r="L16" s="20" t="n">
        <v>0.4340808069648041</v>
      </c>
    </row>
    <row r="17">
      <c r="A17" s="22" t="inlineStr">
        <is>
          <t>DEU</t>
        </is>
      </c>
      <c r="B17" s="22" t="inlineStr">
        <is>
          <t>2025-02</t>
        </is>
      </c>
      <c r="C17" s="23" t="n">
        <v>18</v>
      </c>
      <c r="D17" s="23" t="n">
        <v>892</v>
      </c>
      <c r="E17" s="24" t="n">
        <v>44273.52</v>
      </c>
      <c r="F17" s="24" t="n">
        <v>450</v>
      </c>
      <c r="G17" s="24" t="n">
        <v>43823.52</v>
      </c>
      <c r="H17" s="24" t="n">
        <v>23462.5</v>
      </c>
      <c r="I17" s="24" t="n">
        <v>1018.8</v>
      </c>
      <c r="J17" s="24" t="n">
        <v>19342.22</v>
      </c>
      <c r="K17" s="23" t="n">
        <v>6</v>
      </c>
      <c r="L17" s="25" t="n">
        <v>0.4413661887497855</v>
      </c>
    </row>
    <row r="18">
      <c r="A18" s="17" t="inlineStr">
        <is>
          <t>DEU</t>
        </is>
      </c>
      <c r="B18" s="17" t="inlineStr">
        <is>
          <t>2025-03</t>
        </is>
      </c>
      <c r="C18" s="18" t="n">
        <v>17</v>
      </c>
      <c r="D18" s="18" t="n">
        <v>864</v>
      </c>
      <c r="E18" s="19" t="n">
        <v>39088.56</v>
      </c>
      <c r="F18" s="19" t="n">
        <v>450</v>
      </c>
      <c r="G18" s="19" t="n">
        <v>38638.56</v>
      </c>
      <c r="H18" s="19" t="n">
        <v>22211</v>
      </c>
      <c r="I18" s="19" t="n">
        <v>981.6</v>
      </c>
      <c r="J18" s="19" t="n">
        <v>15445.96</v>
      </c>
      <c r="K18" s="18" t="n">
        <v>6</v>
      </c>
      <c r="L18" s="20" t="n">
        <v>0.3997550633356937</v>
      </c>
    </row>
    <row r="19">
      <c r="A19" s="22" t="inlineStr">
        <is>
          <t>DEU</t>
        </is>
      </c>
      <c r="B19" s="22" t="inlineStr">
        <is>
          <t>2025-04</t>
        </is>
      </c>
      <c r="C19" s="23" t="n">
        <v>17</v>
      </c>
      <c r="D19" s="23" t="n">
        <v>882</v>
      </c>
      <c r="E19" s="24" t="n">
        <v>45414.48</v>
      </c>
      <c r="F19" s="24" t="n">
        <v>450</v>
      </c>
      <c r="G19" s="24" t="n">
        <v>44964.48</v>
      </c>
      <c r="H19" s="24" t="n">
        <v>24142</v>
      </c>
      <c r="I19" s="24" t="n">
        <v>997.8</v>
      </c>
      <c r="J19" s="24" t="n">
        <v>19824.68</v>
      </c>
      <c r="K19" s="23" t="n">
        <v>6</v>
      </c>
      <c r="L19" s="25" t="n">
        <v>0.4408964587158575</v>
      </c>
    </row>
    <row r="20">
      <c r="A20" s="17" t="inlineStr">
        <is>
          <t>DEU</t>
        </is>
      </c>
      <c r="B20" s="17" t="inlineStr">
        <is>
          <t>2025-05</t>
        </is>
      </c>
      <c r="C20" s="18" t="n">
        <v>18</v>
      </c>
      <c r="D20" s="18" t="n">
        <v>1159</v>
      </c>
      <c r="E20" s="19" t="n">
        <v>65858.88</v>
      </c>
      <c r="F20" s="19" t="n">
        <v>450</v>
      </c>
      <c r="G20" s="19" t="n">
        <v>65408.88</v>
      </c>
      <c r="H20" s="19" t="n">
        <v>36475</v>
      </c>
      <c r="I20" s="19" t="n">
        <v>1259.1</v>
      </c>
      <c r="J20" s="19" t="n">
        <v>27674.78</v>
      </c>
      <c r="K20" s="18" t="n">
        <v>6</v>
      </c>
      <c r="L20" s="20" t="n">
        <v>0.4231043246727356</v>
      </c>
    </row>
    <row r="21">
      <c r="A21" s="22" t="inlineStr">
        <is>
          <t>DEU</t>
        </is>
      </c>
      <c r="B21" s="22" t="inlineStr">
        <is>
          <t>2025-06</t>
        </is>
      </c>
      <c r="C21" s="23" t="n">
        <v>17</v>
      </c>
      <c r="D21" s="23" t="n">
        <v>1046</v>
      </c>
      <c r="E21" s="24" t="n">
        <v>51222.9</v>
      </c>
      <c r="F21" s="24" t="n">
        <v>450</v>
      </c>
      <c r="G21" s="24" t="n">
        <v>50772.9</v>
      </c>
      <c r="H21" s="24" t="n">
        <v>27542.5</v>
      </c>
      <c r="I21" s="24" t="n">
        <v>1145.4</v>
      </c>
      <c r="J21" s="24" t="n">
        <v>22085</v>
      </c>
      <c r="K21" s="23" t="n">
        <v>6</v>
      </c>
      <c r="L21" s="25" t="n">
        <v>0.4349761388457228</v>
      </c>
    </row>
    <row r="22">
      <c r="A22" s="17" t="inlineStr">
        <is>
          <t>DEU</t>
        </is>
      </c>
      <c r="B22" s="17" t="inlineStr">
        <is>
          <t>2025-07</t>
        </is>
      </c>
      <c r="C22" s="18" t="n">
        <v>18</v>
      </c>
      <c r="D22" s="18" t="n">
        <v>1236</v>
      </c>
      <c r="E22" s="19" t="n">
        <v>65105.4</v>
      </c>
      <c r="F22" s="19" t="n">
        <v>450</v>
      </c>
      <c r="G22" s="19" t="n">
        <v>64655.4</v>
      </c>
      <c r="H22" s="19" t="n">
        <v>36424.5</v>
      </c>
      <c r="I22" s="19" t="n">
        <v>1328.4</v>
      </c>
      <c r="J22" s="19" t="n">
        <v>26902.5</v>
      </c>
      <c r="K22" s="18" t="n">
        <v>6</v>
      </c>
      <c r="L22" s="20" t="n">
        <v>0.4160905353613155</v>
      </c>
    </row>
    <row r="23">
      <c r="A23" s="22" t="inlineStr">
        <is>
          <t>DEU</t>
        </is>
      </c>
      <c r="B23" s="22" t="inlineStr">
        <is>
          <t>2025-08</t>
        </is>
      </c>
      <c r="C23" s="23" t="n">
        <v>17</v>
      </c>
      <c r="D23" s="23" t="n">
        <v>1145</v>
      </c>
      <c r="E23" s="24" t="n">
        <v>60928.2</v>
      </c>
      <c r="F23" s="24" t="n">
        <v>450</v>
      </c>
      <c r="G23" s="24" t="n">
        <v>60478.2</v>
      </c>
      <c r="H23" s="24" t="n">
        <v>34167.5</v>
      </c>
      <c r="I23" s="24" t="n">
        <v>1234.5</v>
      </c>
      <c r="J23" s="24" t="n">
        <v>25076.2</v>
      </c>
      <c r="K23" s="23" t="n">
        <v>6</v>
      </c>
      <c r="L23" s="25" t="n">
        <v>0.4146320492342696</v>
      </c>
    </row>
    <row r="24">
      <c r="A24" s="17" t="inlineStr">
        <is>
          <t>DEU</t>
        </is>
      </c>
      <c r="B24" s="17" t="inlineStr">
        <is>
          <t>2025-09</t>
        </is>
      </c>
      <c r="C24" s="18" t="n">
        <v>17</v>
      </c>
      <c r="D24" s="18" t="n">
        <v>1067</v>
      </c>
      <c r="E24" s="19" t="n">
        <v>57896.64</v>
      </c>
      <c r="F24" s="19" t="n">
        <v>450</v>
      </c>
      <c r="G24" s="19" t="n">
        <v>57446.64</v>
      </c>
      <c r="H24" s="19" t="n">
        <v>33759.5</v>
      </c>
      <c r="I24" s="19" t="n">
        <v>1164.3</v>
      </c>
      <c r="J24" s="19" t="n">
        <v>22522.84</v>
      </c>
      <c r="K24" s="18" t="n">
        <v>6</v>
      </c>
      <c r="L24" s="20" t="n">
        <v>0.3920654019103641</v>
      </c>
    </row>
    <row r="25">
      <c r="A25" s="22" t="inlineStr">
        <is>
          <t>DEU</t>
        </is>
      </c>
      <c r="B25" s="22" t="inlineStr">
        <is>
          <t>2025-10</t>
        </is>
      </c>
      <c r="C25" s="23" t="n">
        <v>18</v>
      </c>
      <c r="D25" s="23" t="n">
        <v>1124</v>
      </c>
      <c r="E25" s="24" t="n">
        <v>57554.22</v>
      </c>
      <c r="F25" s="24" t="n">
        <v>450</v>
      </c>
      <c r="G25" s="24" t="n">
        <v>57104.22</v>
      </c>
      <c r="H25" s="24" t="n">
        <v>32276</v>
      </c>
      <c r="I25" s="24" t="n">
        <v>1227.6</v>
      </c>
      <c r="J25" s="24" t="n">
        <v>23600.62</v>
      </c>
      <c r="K25" s="23" t="n">
        <v>6</v>
      </c>
      <c r="L25" s="25" t="n">
        <v>0.4132902962337985</v>
      </c>
    </row>
    <row r="26">
      <c r="A26" s="17" t="inlineStr">
        <is>
          <t>DEU</t>
        </is>
      </c>
      <c r="B26" s="17" t="inlineStr">
        <is>
          <t>2025-11</t>
        </is>
      </c>
      <c r="C26" s="18" t="n">
        <v>18</v>
      </c>
      <c r="D26" s="18" t="n">
        <v>921</v>
      </c>
      <c r="E26" s="19" t="n">
        <v>48771.06</v>
      </c>
      <c r="F26" s="19" t="n">
        <v>450</v>
      </c>
      <c r="G26" s="19" t="n">
        <v>48321.06</v>
      </c>
      <c r="H26" s="19" t="n">
        <v>27297</v>
      </c>
      <c r="I26" s="19" t="n">
        <v>1044.9</v>
      </c>
      <c r="J26" s="19" t="n">
        <v>19979.16</v>
      </c>
      <c r="K26" s="18" t="n">
        <v>6</v>
      </c>
      <c r="L26" s="20" t="n">
        <v>0.4134669231179945</v>
      </c>
    </row>
    <row r="27">
      <c r="A27" s="22" t="inlineStr">
        <is>
          <t>DEU</t>
        </is>
      </c>
      <c r="B27" s="22" t="inlineStr">
        <is>
          <t>2025-12</t>
        </is>
      </c>
      <c r="C27" s="23" t="n">
        <v>16</v>
      </c>
      <c r="D27" s="23" t="n">
        <v>855</v>
      </c>
      <c r="E27" s="24" t="n">
        <v>46168.26</v>
      </c>
      <c r="F27" s="24" t="n">
        <v>504</v>
      </c>
      <c r="G27" s="24" t="n">
        <v>45664.26</v>
      </c>
      <c r="H27" s="24" t="n">
        <v>25850</v>
      </c>
      <c r="I27" s="24" t="n">
        <v>961.5</v>
      </c>
      <c r="J27" s="24" t="n">
        <v>18852.76</v>
      </c>
      <c r="K27" s="23" t="n">
        <v>7</v>
      </c>
      <c r="L27" s="25" t="n">
        <v>0.4128559183921955</v>
      </c>
    </row>
    <row r="28">
      <c r="A28" s="17" t="inlineStr">
        <is>
          <t>ESP</t>
        </is>
      </c>
      <c r="B28" s="17" t="inlineStr">
        <is>
          <t>2025-01</t>
        </is>
      </c>
      <c r="C28" s="18" t="n">
        <v>18</v>
      </c>
      <c r="D28" s="18" t="n">
        <v>1190</v>
      </c>
      <c r="E28" s="19" t="n">
        <v>74395.22</v>
      </c>
      <c r="F28" s="19" t="n">
        <v>1785</v>
      </c>
      <c r="G28" s="19" t="n">
        <v>72610.22</v>
      </c>
      <c r="H28" s="19" t="n">
        <v>33861</v>
      </c>
      <c r="I28" s="19" t="n">
        <v>1941.5</v>
      </c>
      <c r="J28" s="19" t="n">
        <v>36807.72</v>
      </c>
      <c r="K28" s="18" t="n">
        <v>21</v>
      </c>
      <c r="L28" s="20" t="n">
        <v>0.5069220283315489</v>
      </c>
    </row>
    <row r="29">
      <c r="A29" s="22" t="inlineStr">
        <is>
          <t>ESP</t>
        </is>
      </c>
      <c r="B29" s="22" t="inlineStr">
        <is>
          <t>2025-02</t>
        </is>
      </c>
      <c r="C29" s="23" t="n">
        <v>18</v>
      </c>
      <c r="D29" s="23" t="n">
        <v>991</v>
      </c>
      <c r="E29" s="24" t="n">
        <v>60327.46</v>
      </c>
      <c r="F29" s="24" t="n">
        <v>1785</v>
      </c>
      <c r="G29" s="24" t="n">
        <v>58542.46</v>
      </c>
      <c r="H29" s="24" t="n">
        <v>27263</v>
      </c>
      <c r="I29" s="24" t="n">
        <v>1652.95</v>
      </c>
      <c r="J29" s="24" t="n">
        <v>29626.51</v>
      </c>
      <c r="K29" s="23" t="n">
        <v>21</v>
      </c>
      <c r="L29" s="25" t="n">
        <v>0.5060687576162669</v>
      </c>
    </row>
    <row r="30">
      <c r="A30" s="17" t="inlineStr">
        <is>
          <t>ESP</t>
        </is>
      </c>
      <c r="B30" s="17" t="inlineStr">
        <is>
          <t>2025-03</t>
        </is>
      </c>
      <c r="C30" s="18" t="n">
        <v>17</v>
      </c>
      <c r="D30" s="18" t="n">
        <v>1008</v>
      </c>
      <c r="E30" s="19" t="n">
        <v>58853.68</v>
      </c>
      <c r="F30" s="19" t="n">
        <v>1785</v>
      </c>
      <c r="G30" s="19" t="n">
        <v>57068.68</v>
      </c>
      <c r="H30" s="19" t="n">
        <v>28585.5</v>
      </c>
      <c r="I30" s="19" t="n">
        <v>1665.6</v>
      </c>
      <c r="J30" s="19" t="n">
        <v>26817.58</v>
      </c>
      <c r="K30" s="18" t="n">
        <v>21</v>
      </c>
      <c r="L30" s="20" t="n">
        <v>0.4699176501015969</v>
      </c>
    </row>
    <row r="31">
      <c r="A31" s="22" t="inlineStr">
        <is>
          <t>ESP</t>
        </is>
      </c>
      <c r="B31" s="22" t="inlineStr">
        <is>
          <t>2025-04</t>
        </is>
      </c>
      <c r="C31" s="23" t="n">
        <v>17</v>
      </c>
      <c r="D31" s="23" t="n">
        <v>1096</v>
      </c>
      <c r="E31" s="24" t="n">
        <v>69827.92</v>
      </c>
      <c r="F31" s="24" t="n">
        <v>1785</v>
      </c>
      <c r="G31" s="24" t="n">
        <v>68042.92</v>
      </c>
      <c r="H31" s="24" t="n">
        <v>31926.5</v>
      </c>
      <c r="I31" s="24" t="n">
        <v>1793.2</v>
      </c>
      <c r="J31" s="24" t="n">
        <v>34323.22</v>
      </c>
      <c r="K31" s="23" t="n">
        <v>21</v>
      </c>
      <c r="L31" s="25" t="n">
        <v>0.5044348478871865</v>
      </c>
    </row>
    <row r="32">
      <c r="A32" s="17" t="inlineStr">
        <is>
          <t>ESP</t>
        </is>
      </c>
      <c r="B32" s="17" t="inlineStr">
        <is>
          <t>2025-05</t>
        </is>
      </c>
      <c r="C32" s="18" t="n">
        <v>18</v>
      </c>
      <c r="D32" s="18" t="n">
        <v>1247</v>
      </c>
      <c r="E32" s="19" t="n">
        <v>78780.62</v>
      </c>
      <c r="F32" s="19" t="n">
        <v>1785</v>
      </c>
      <c r="G32" s="19" t="n">
        <v>76995.62</v>
      </c>
      <c r="H32" s="19" t="n">
        <v>35513</v>
      </c>
      <c r="I32" s="19" t="n">
        <v>2024.15</v>
      </c>
      <c r="J32" s="19" t="n">
        <v>39458.47</v>
      </c>
      <c r="K32" s="18" t="n">
        <v>21</v>
      </c>
      <c r="L32" s="20" t="n">
        <v>0.5124768136161512</v>
      </c>
    </row>
    <row r="33">
      <c r="A33" s="22" t="inlineStr">
        <is>
          <t>ESP</t>
        </is>
      </c>
      <c r="B33" s="22" t="inlineStr">
        <is>
          <t>2025-06</t>
        </is>
      </c>
      <c r="C33" s="23" t="n">
        <v>17</v>
      </c>
      <c r="D33" s="23" t="n">
        <v>1321</v>
      </c>
      <c r="E33" s="24" t="n">
        <v>83312.67999999999</v>
      </c>
      <c r="F33" s="24" t="n">
        <v>1785</v>
      </c>
      <c r="G33" s="24" t="n">
        <v>81527.67999999999</v>
      </c>
      <c r="H33" s="24" t="n">
        <v>38390.5</v>
      </c>
      <c r="I33" s="24" t="n">
        <v>2119.45</v>
      </c>
      <c r="J33" s="24" t="n">
        <v>41017.73</v>
      </c>
      <c r="K33" s="23" t="n">
        <v>21</v>
      </c>
      <c r="L33" s="25" t="n">
        <v>0.5031141570568425</v>
      </c>
    </row>
    <row r="34">
      <c r="A34" s="17" t="inlineStr">
        <is>
          <t>ESP</t>
        </is>
      </c>
      <c r="B34" s="17" t="inlineStr">
        <is>
          <t>2025-07</t>
        </is>
      </c>
      <c r="C34" s="18" t="n">
        <v>18</v>
      </c>
      <c r="D34" s="18" t="n">
        <v>1127</v>
      </c>
      <c r="E34" s="19" t="n">
        <v>72485.36</v>
      </c>
      <c r="F34" s="19" t="n">
        <v>1785</v>
      </c>
      <c r="G34" s="19" t="n">
        <v>70700.36</v>
      </c>
      <c r="H34" s="19" t="n">
        <v>34320.5</v>
      </c>
      <c r="I34" s="19" t="n">
        <v>1850.15</v>
      </c>
      <c r="J34" s="19" t="n">
        <v>34529.71</v>
      </c>
      <c r="K34" s="18" t="n">
        <v>21</v>
      </c>
      <c r="L34" s="20" t="n">
        <v>0.4883951085963353</v>
      </c>
    </row>
    <row r="35">
      <c r="A35" s="22" t="inlineStr">
        <is>
          <t>ESP</t>
        </is>
      </c>
      <c r="B35" s="22" t="inlineStr">
        <is>
          <t>2025-08</t>
        </is>
      </c>
      <c r="C35" s="23" t="n">
        <v>17</v>
      </c>
      <c r="D35" s="23" t="n">
        <v>1143</v>
      </c>
      <c r="E35" s="24" t="n">
        <v>68790</v>
      </c>
      <c r="F35" s="24" t="n">
        <v>1785</v>
      </c>
      <c r="G35" s="24" t="n">
        <v>67005</v>
      </c>
      <c r="H35" s="24" t="n">
        <v>31953</v>
      </c>
      <c r="I35" s="24" t="n">
        <v>1861.35</v>
      </c>
      <c r="J35" s="24" t="n">
        <v>33190.65</v>
      </c>
      <c r="K35" s="23" t="n">
        <v>21</v>
      </c>
      <c r="L35" s="25" t="n">
        <v>0.4953458697112156</v>
      </c>
    </row>
    <row r="36">
      <c r="A36" s="17" t="inlineStr">
        <is>
          <t>ESP</t>
        </is>
      </c>
      <c r="B36" s="17" t="inlineStr">
        <is>
          <t>2025-09</t>
        </is>
      </c>
      <c r="C36" s="18" t="n">
        <v>17</v>
      </c>
      <c r="D36" s="18" t="n">
        <v>1037</v>
      </c>
      <c r="E36" s="19" t="n">
        <v>63309.12</v>
      </c>
      <c r="F36" s="19" t="n">
        <v>1785</v>
      </c>
      <c r="G36" s="19" t="n">
        <v>61524.12</v>
      </c>
      <c r="H36" s="19" t="n">
        <v>30006.5</v>
      </c>
      <c r="I36" s="19" t="n">
        <v>1707.65</v>
      </c>
      <c r="J36" s="19" t="n">
        <v>29809.97</v>
      </c>
      <c r="K36" s="18" t="n">
        <v>21</v>
      </c>
      <c r="L36" s="20" t="n">
        <v>0.4845249310351777</v>
      </c>
    </row>
    <row r="37">
      <c r="A37" s="22" t="inlineStr">
        <is>
          <t>ESP</t>
        </is>
      </c>
      <c r="B37" s="22" t="inlineStr">
        <is>
          <t>2025-10</t>
        </is>
      </c>
      <c r="C37" s="23" t="n">
        <v>18</v>
      </c>
      <c r="D37" s="23" t="n">
        <v>1407</v>
      </c>
      <c r="E37" s="24" t="n">
        <v>89281.67999999999</v>
      </c>
      <c r="F37" s="24" t="n">
        <v>1785</v>
      </c>
      <c r="G37" s="24" t="n">
        <v>87496.67999999999</v>
      </c>
      <c r="H37" s="24" t="n">
        <v>42042</v>
      </c>
      <c r="I37" s="24" t="n">
        <v>2256.15</v>
      </c>
      <c r="J37" s="24" t="n">
        <v>43198.53</v>
      </c>
      <c r="K37" s="23" t="n">
        <v>21</v>
      </c>
      <c r="L37" s="25" t="n">
        <v>0.4937162187182417</v>
      </c>
    </row>
    <row r="38">
      <c r="A38" s="17" t="inlineStr">
        <is>
          <t>ESP</t>
        </is>
      </c>
      <c r="B38" s="17" t="inlineStr">
        <is>
          <t>2025-11</t>
        </is>
      </c>
      <c r="C38" s="18" t="n">
        <v>18</v>
      </c>
      <c r="D38" s="18" t="n">
        <v>1218</v>
      </c>
      <c r="E38" s="19" t="n">
        <v>79050</v>
      </c>
      <c r="F38" s="19" t="n">
        <v>1785</v>
      </c>
      <c r="G38" s="19" t="n">
        <v>77265</v>
      </c>
      <c r="H38" s="19" t="n">
        <v>37656</v>
      </c>
      <c r="I38" s="19" t="n">
        <v>1982.1</v>
      </c>
      <c r="J38" s="19" t="n">
        <v>37626.9</v>
      </c>
      <c r="K38" s="18" t="n">
        <v>21</v>
      </c>
      <c r="L38" s="20" t="n">
        <v>0.4869850514463211</v>
      </c>
    </row>
    <row r="39">
      <c r="A39" s="22" t="inlineStr">
        <is>
          <t>ESP</t>
        </is>
      </c>
      <c r="B39" s="22" t="inlineStr">
        <is>
          <t>2025-12</t>
        </is>
      </c>
      <c r="C39" s="23" t="n">
        <v>16</v>
      </c>
      <c r="D39" s="23" t="n">
        <v>1146</v>
      </c>
      <c r="E39" s="24" t="n">
        <v>73845.17999999999</v>
      </c>
      <c r="F39" s="24" t="n">
        <v>1785</v>
      </c>
      <c r="G39" s="24" t="n">
        <v>72060.17999999999</v>
      </c>
      <c r="H39" s="24" t="n">
        <v>34713</v>
      </c>
      <c r="I39" s="24" t="n">
        <v>1853.7</v>
      </c>
      <c r="J39" s="24" t="n">
        <v>35493.48</v>
      </c>
      <c r="K39" s="23" t="n">
        <v>21</v>
      </c>
      <c r="L39" s="25" t="n">
        <v>0.4925533075271252</v>
      </c>
    </row>
    <row r="40">
      <c r="A40" s="17" t="inlineStr">
        <is>
          <t>FRA</t>
        </is>
      </c>
      <c r="B40" s="17" t="inlineStr">
        <is>
          <t>2025-01</t>
        </is>
      </c>
      <c r="C40" s="18" t="n">
        <v>18</v>
      </c>
      <c r="D40" s="18" t="n">
        <v>916</v>
      </c>
      <c r="E40" s="19" t="n">
        <v>51112.88</v>
      </c>
      <c r="F40" s="19" t="n">
        <v>724.92</v>
      </c>
      <c r="G40" s="19" t="n">
        <v>50387.96</v>
      </c>
      <c r="H40" s="19" t="n">
        <v>26508</v>
      </c>
      <c r="I40" s="19" t="n">
        <v>1141.16</v>
      </c>
      <c r="J40" s="19" t="n">
        <v>22738.8</v>
      </c>
      <c r="K40" s="18" t="n">
        <v>12</v>
      </c>
      <c r="L40" s="20" t="n">
        <v>0.4512744711236573</v>
      </c>
    </row>
    <row r="41">
      <c r="A41" s="22" t="inlineStr">
        <is>
          <t>FRA</t>
        </is>
      </c>
      <c r="B41" s="22" t="inlineStr">
        <is>
          <t>2025-02</t>
        </is>
      </c>
      <c r="C41" s="23" t="n">
        <v>18</v>
      </c>
      <c r="D41" s="23" t="n">
        <v>1023</v>
      </c>
      <c r="E41" s="24" t="n">
        <v>55703.76</v>
      </c>
      <c r="F41" s="24" t="n">
        <v>724.92</v>
      </c>
      <c r="G41" s="24" t="n">
        <v>54978.84</v>
      </c>
      <c r="H41" s="24" t="n">
        <v>29141</v>
      </c>
      <c r="I41" s="24" t="n">
        <v>1249.23</v>
      </c>
      <c r="J41" s="24" t="n">
        <v>24588.61</v>
      </c>
      <c r="K41" s="23" t="n">
        <v>12</v>
      </c>
      <c r="L41" s="25" t="n">
        <v>0.4472377009045662</v>
      </c>
    </row>
    <row r="42">
      <c r="A42" s="17" t="inlineStr">
        <is>
          <t>FRA</t>
        </is>
      </c>
      <c r="B42" s="17" t="inlineStr">
        <is>
          <t>2025-03</t>
        </is>
      </c>
      <c r="C42" s="18" t="n">
        <v>17</v>
      </c>
      <c r="D42" s="18" t="n">
        <v>942</v>
      </c>
      <c r="E42" s="19" t="n">
        <v>49158.62</v>
      </c>
      <c r="F42" s="19" t="n">
        <v>724.92</v>
      </c>
      <c r="G42" s="19" t="n">
        <v>48433.7</v>
      </c>
      <c r="H42" s="19" t="n">
        <v>26346.5</v>
      </c>
      <c r="I42" s="19" t="n">
        <v>1155.42</v>
      </c>
      <c r="J42" s="19" t="n">
        <v>20931.78</v>
      </c>
      <c r="K42" s="18" t="n">
        <v>12</v>
      </c>
      <c r="L42" s="20" t="n">
        <v>0.4321738789314052</v>
      </c>
    </row>
    <row r="43">
      <c r="A43" s="22" t="inlineStr">
        <is>
          <t>FRA</t>
        </is>
      </c>
      <c r="B43" s="22" t="inlineStr">
        <is>
          <t>2025-04</t>
        </is>
      </c>
      <c r="C43" s="23" t="n">
        <v>17</v>
      </c>
      <c r="D43" s="23" t="n">
        <v>1050</v>
      </c>
      <c r="E43" s="24" t="n">
        <v>55198.92</v>
      </c>
      <c r="F43" s="24" t="n">
        <v>724.92</v>
      </c>
      <c r="G43" s="24" t="n">
        <v>54474</v>
      </c>
      <c r="H43" s="24" t="n">
        <v>28608</v>
      </c>
      <c r="I43" s="24" t="n">
        <v>1264.5</v>
      </c>
      <c r="J43" s="24" t="n">
        <v>24601.5</v>
      </c>
      <c r="K43" s="23" t="n">
        <v>12</v>
      </c>
      <c r="L43" s="25" t="n">
        <v>0.4516191210485737</v>
      </c>
    </row>
    <row r="44">
      <c r="A44" s="17" t="inlineStr">
        <is>
          <t>FRA</t>
        </is>
      </c>
      <c r="B44" s="17" t="inlineStr">
        <is>
          <t>2025-05</t>
        </is>
      </c>
      <c r="C44" s="18" t="n">
        <v>18</v>
      </c>
      <c r="D44" s="18" t="n">
        <v>977</v>
      </c>
      <c r="E44" s="19" t="n">
        <v>53658.64</v>
      </c>
      <c r="F44" s="19" t="n">
        <v>724.92</v>
      </c>
      <c r="G44" s="19" t="n">
        <v>52933.72</v>
      </c>
      <c r="H44" s="19" t="n">
        <v>27989.5</v>
      </c>
      <c r="I44" s="19" t="n">
        <v>1202.77</v>
      </c>
      <c r="J44" s="19" t="n">
        <v>23741.45</v>
      </c>
      <c r="K44" s="18" t="n">
        <v>12</v>
      </c>
      <c r="L44" s="20" t="n">
        <v>0.4485127816446681</v>
      </c>
    </row>
    <row r="45">
      <c r="A45" s="22" t="inlineStr">
        <is>
          <t>FRA</t>
        </is>
      </c>
      <c r="B45" s="22" t="inlineStr">
        <is>
          <t>2025-06</t>
        </is>
      </c>
      <c r="C45" s="23" t="n">
        <v>17</v>
      </c>
      <c r="D45" s="23" t="n">
        <v>880</v>
      </c>
      <c r="E45" s="24" t="n">
        <v>46500.86</v>
      </c>
      <c r="F45" s="24" t="n">
        <v>724.92</v>
      </c>
      <c r="G45" s="24" t="n">
        <v>45775.94</v>
      </c>
      <c r="H45" s="24" t="n">
        <v>24563.5</v>
      </c>
      <c r="I45" s="24" t="n">
        <v>1092.8</v>
      </c>
      <c r="J45" s="24" t="n">
        <v>20119.64</v>
      </c>
      <c r="K45" s="23" t="n">
        <v>12</v>
      </c>
      <c r="L45" s="25" t="n">
        <v>0.4395243440112863</v>
      </c>
    </row>
    <row r="46">
      <c r="A46" s="17" t="inlineStr">
        <is>
          <t>FRA</t>
        </is>
      </c>
      <c r="B46" s="17" t="inlineStr">
        <is>
          <t>2025-07</t>
        </is>
      </c>
      <c r="C46" s="18" t="n">
        <v>18</v>
      </c>
      <c r="D46" s="18" t="n">
        <v>947</v>
      </c>
      <c r="E46" s="19" t="n">
        <v>49908.46</v>
      </c>
      <c r="F46" s="19" t="n">
        <v>724.92</v>
      </c>
      <c r="G46" s="19" t="n">
        <v>49183.54</v>
      </c>
      <c r="H46" s="19" t="n">
        <v>27047.5</v>
      </c>
      <c r="I46" s="19" t="n">
        <v>1172.47</v>
      </c>
      <c r="J46" s="19" t="n">
        <v>20963.57</v>
      </c>
      <c r="K46" s="18" t="n">
        <v>12</v>
      </c>
      <c r="L46" s="20" t="n">
        <v>0.426231418071981</v>
      </c>
    </row>
    <row r="47">
      <c r="A47" s="22" t="inlineStr">
        <is>
          <t>FRA</t>
        </is>
      </c>
      <c r="B47" s="22" t="inlineStr">
        <is>
          <t>2025-08</t>
        </is>
      </c>
      <c r="C47" s="23" t="n">
        <v>17</v>
      </c>
      <c r="D47" s="23" t="n">
        <v>989</v>
      </c>
      <c r="E47" s="24" t="n">
        <v>55720.84</v>
      </c>
      <c r="F47" s="24" t="n">
        <v>724.92</v>
      </c>
      <c r="G47" s="24" t="n">
        <v>54995.92</v>
      </c>
      <c r="H47" s="24" t="n">
        <v>29950</v>
      </c>
      <c r="I47" s="24" t="n">
        <v>1202.89</v>
      </c>
      <c r="J47" s="24" t="n">
        <v>23843.03</v>
      </c>
      <c r="K47" s="23" t="n">
        <v>12</v>
      </c>
      <c r="L47" s="25" t="n">
        <v>0.4335417972824166</v>
      </c>
    </row>
    <row r="48">
      <c r="A48" s="17" t="inlineStr">
        <is>
          <t>FRA</t>
        </is>
      </c>
      <c r="B48" s="17" t="inlineStr">
        <is>
          <t>2025-09</t>
        </is>
      </c>
      <c r="C48" s="18" t="n">
        <v>17</v>
      </c>
      <c r="D48" s="18" t="n">
        <v>838</v>
      </c>
      <c r="E48" s="19" t="n">
        <v>44859.22</v>
      </c>
      <c r="F48" s="19" t="n">
        <v>724.92</v>
      </c>
      <c r="G48" s="19" t="n">
        <v>44134.3</v>
      </c>
      <c r="H48" s="19" t="n">
        <v>24517.5</v>
      </c>
      <c r="I48" s="19" t="n">
        <v>1050.38</v>
      </c>
      <c r="J48" s="19" t="n">
        <v>18566.42</v>
      </c>
      <c r="K48" s="18" t="n">
        <v>12</v>
      </c>
      <c r="L48" s="20" t="n">
        <v>0.420680060633113</v>
      </c>
    </row>
    <row r="49">
      <c r="A49" s="22" t="inlineStr">
        <is>
          <t>FRA</t>
        </is>
      </c>
      <c r="B49" s="22" t="inlineStr">
        <is>
          <t>2025-10</t>
        </is>
      </c>
      <c r="C49" s="23" t="n">
        <v>18</v>
      </c>
      <c r="D49" s="23" t="n">
        <v>1163</v>
      </c>
      <c r="E49" s="24" t="n">
        <v>64158.64</v>
      </c>
      <c r="F49" s="24" t="n">
        <v>724.92</v>
      </c>
      <c r="G49" s="24" t="n">
        <v>63433.72</v>
      </c>
      <c r="H49" s="24" t="n">
        <v>34571.5</v>
      </c>
      <c r="I49" s="24" t="n">
        <v>1390.63</v>
      </c>
      <c r="J49" s="24" t="n">
        <v>27471.59</v>
      </c>
      <c r="K49" s="23" t="n">
        <v>12</v>
      </c>
      <c r="L49" s="25" t="n">
        <v>0.4330754999076201</v>
      </c>
    </row>
    <row r="50">
      <c r="A50" s="17" t="inlineStr">
        <is>
          <t>FRA</t>
        </is>
      </c>
      <c r="B50" s="17" t="inlineStr">
        <is>
          <t>2025-11</t>
        </is>
      </c>
      <c r="C50" s="18" t="n">
        <v>18</v>
      </c>
      <c r="D50" s="18" t="n">
        <v>1162</v>
      </c>
      <c r="E50" s="19" t="n">
        <v>62804</v>
      </c>
      <c r="F50" s="19" t="n">
        <v>724.92</v>
      </c>
      <c r="G50" s="19" t="n">
        <v>62079.08</v>
      </c>
      <c r="H50" s="19" t="n">
        <v>33883.5</v>
      </c>
      <c r="I50" s="19" t="n">
        <v>1389.62</v>
      </c>
      <c r="J50" s="19" t="n">
        <v>26805.96</v>
      </c>
      <c r="K50" s="18" t="n">
        <v>12</v>
      </c>
      <c r="L50" s="20" t="n">
        <v>0.4318034352313211</v>
      </c>
    </row>
    <row r="51">
      <c r="A51" s="22" t="inlineStr">
        <is>
          <t>FRA</t>
        </is>
      </c>
      <c r="B51" s="22" t="inlineStr">
        <is>
          <t>2025-12</t>
        </is>
      </c>
      <c r="C51" s="23" t="n">
        <v>16</v>
      </c>
      <c r="D51" s="23" t="n">
        <v>993</v>
      </c>
      <c r="E51" s="24" t="n">
        <v>52145.1</v>
      </c>
      <c r="F51" s="24" t="n">
        <v>724.92</v>
      </c>
      <c r="G51" s="24" t="n">
        <v>51420.18</v>
      </c>
      <c r="H51" s="24" t="n">
        <v>28326.5</v>
      </c>
      <c r="I51" s="24" t="n">
        <v>1194.93</v>
      </c>
      <c r="J51" s="24" t="n">
        <v>21898.75</v>
      </c>
      <c r="K51" s="23" t="n">
        <v>12</v>
      </c>
      <c r="L51" s="25" t="n">
        <v>0.4258785169557944</v>
      </c>
    </row>
    <row r="52">
      <c r="A52" s="17" t="inlineStr">
        <is>
          <t>NLD</t>
        </is>
      </c>
      <c r="B52" s="17" t="inlineStr">
        <is>
          <t>2025-01</t>
        </is>
      </c>
      <c r="C52" s="18" t="n">
        <v>18</v>
      </c>
      <c r="D52" s="18" t="n">
        <v>1138</v>
      </c>
      <c r="E52" s="19" t="n">
        <v>63010.54</v>
      </c>
      <c r="F52" s="19" t="n">
        <v>948</v>
      </c>
      <c r="G52" s="19" t="n">
        <v>62062.54</v>
      </c>
      <c r="H52" s="19" t="n">
        <v>31351</v>
      </c>
      <c r="I52" s="19" t="n">
        <v>1490.56</v>
      </c>
      <c r="J52" s="19" t="n">
        <v>29220.98</v>
      </c>
      <c r="K52" s="18" t="n">
        <v>12</v>
      </c>
      <c r="L52" s="20" t="n">
        <v>0.4708311970473654</v>
      </c>
    </row>
    <row r="53">
      <c r="A53" s="22" t="inlineStr">
        <is>
          <t>NLD</t>
        </is>
      </c>
      <c r="B53" s="22" t="inlineStr">
        <is>
          <t>2025-02</t>
        </is>
      </c>
      <c r="C53" s="23" t="n">
        <v>18</v>
      </c>
      <c r="D53" s="23" t="n">
        <v>1107</v>
      </c>
      <c r="E53" s="24" t="n">
        <v>63270.6</v>
      </c>
      <c r="F53" s="24" t="n">
        <v>948</v>
      </c>
      <c r="G53" s="24" t="n">
        <v>62322.6</v>
      </c>
      <c r="H53" s="24" t="n">
        <v>32243</v>
      </c>
      <c r="I53" s="24" t="n">
        <v>1455.84</v>
      </c>
      <c r="J53" s="24" t="n">
        <v>28623.76</v>
      </c>
      <c r="K53" s="23" t="n">
        <v>12</v>
      </c>
      <c r="L53" s="25" t="n">
        <v>0.4592837911126943</v>
      </c>
    </row>
    <row r="54">
      <c r="A54" s="17" t="inlineStr">
        <is>
          <t>NLD</t>
        </is>
      </c>
      <c r="B54" s="17" t="inlineStr">
        <is>
          <t>2025-03</t>
        </is>
      </c>
      <c r="C54" s="18" t="n">
        <v>17</v>
      </c>
      <c r="D54" s="18" t="n">
        <v>922</v>
      </c>
      <c r="E54" s="19" t="n">
        <v>53048.72</v>
      </c>
      <c r="F54" s="19" t="n">
        <v>948</v>
      </c>
      <c r="G54" s="19" t="n">
        <v>52100.72</v>
      </c>
      <c r="H54" s="19" t="n">
        <v>27348.5</v>
      </c>
      <c r="I54" s="19" t="n">
        <v>1236.64</v>
      </c>
      <c r="J54" s="19" t="n">
        <v>23515.58</v>
      </c>
      <c r="K54" s="18" t="n">
        <v>12</v>
      </c>
      <c r="L54" s="20" t="n">
        <v>0.4513484650500031</v>
      </c>
    </row>
    <row r="55">
      <c r="A55" s="22" t="inlineStr">
        <is>
          <t>NLD</t>
        </is>
      </c>
      <c r="B55" s="22" t="inlineStr">
        <is>
          <t>2025-04</t>
        </is>
      </c>
      <c r="C55" s="23" t="n">
        <v>17</v>
      </c>
      <c r="D55" s="23" t="n">
        <v>875</v>
      </c>
      <c r="E55" s="24" t="n">
        <v>50064.5</v>
      </c>
      <c r="F55" s="24" t="n">
        <v>948</v>
      </c>
      <c r="G55" s="24" t="n">
        <v>49116.5</v>
      </c>
      <c r="H55" s="24" t="n">
        <v>25184</v>
      </c>
      <c r="I55" s="24" t="n">
        <v>1184</v>
      </c>
      <c r="J55" s="24" t="n">
        <v>22748.5</v>
      </c>
      <c r="K55" s="23" t="n">
        <v>12</v>
      </c>
      <c r="L55" s="25" t="n">
        <v>0.4631539299420765</v>
      </c>
    </row>
    <row r="56">
      <c r="A56" s="17" t="inlineStr">
        <is>
          <t>NLD</t>
        </is>
      </c>
      <c r="B56" s="17" t="inlineStr">
        <is>
          <t>2025-05</t>
        </is>
      </c>
      <c r="C56" s="18" t="n">
        <v>18</v>
      </c>
      <c r="D56" s="18" t="n">
        <v>1043</v>
      </c>
      <c r="E56" s="19" t="n">
        <v>59402.18</v>
      </c>
      <c r="F56" s="19" t="n">
        <v>948</v>
      </c>
      <c r="G56" s="19" t="n">
        <v>58454.18</v>
      </c>
      <c r="H56" s="19" t="n">
        <v>29892</v>
      </c>
      <c r="I56" s="19" t="n">
        <v>1384.16</v>
      </c>
      <c r="J56" s="19" t="n">
        <v>27178.02</v>
      </c>
      <c r="K56" s="18" t="n">
        <v>12</v>
      </c>
      <c r="L56" s="20" t="n">
        <v>0.46494570619244</v>
      </c>
    </row>
    <row r="57">
      <c r="A57" s="22" t="inlineStr">
        <is>
          <t>NLD</t>
        </is>
      </c>
      <c r="B57" s="22" t="inlineStr">
        <is>
          <t>2025-06</t>
        </is>
      </c>
      <c r="C57" s="23" t="n">
        <v>17</v>
      </c>
      <c r="D57" s="23" t="n">
        <v>1145</v>
      </c>
      <c r="E57" s="24" t="n">
        <v>63045.5</v>
      </c>
      <c r="F57" s="24" t="n">
        <v>948</v>
      </c>
      <c r="G57" s="24" t="n">
        <v>62097.5</v>
      </c>
      <c r="H57" s="24" t="n">
        <v>31694</v>
      </c>
      <c r="I57" s="24" t="n">
        <v>1486.4</v>
      </c>
      <c r="J57" s="24" t="n">
        <v>28917.1</v>
      </c>
      <c r="K57" s="23" t="n">
        <v>12</v>
      </c>
      <c r="L57" s="25" t="n">
        <v>0.4656725311002858</v>
      </c>
    </row>
    <row r="58">
      <c r="A58" s="17" t="inlineStr">
        <is>
          <t>NLD</t>
        </is>
      </c>
      <c r="B58" s="17" t="inlineStr">
        <is>
          <t>2025-07</t>
        </is>
      </c>
      <c r="C58" s="18" t="n">
        <v>18</v>
      </c>
      <c r="D58" s="18" t="n">
        <v>1309</v>
      </c>
      <c r="E58" s="19" t="n">
        <v>74804.2</v>
      </c>
      <c r="F58" s="19" t="n">
        <v>948</v>
      </c>
      <c r="G58" s="19" t="n">
        <v>73856.2</v>
      </c>
      <c r="H58" s="19" t="n">
        <v>39217</v>
      </c>
      <c r="I58" s="19" t="n">
        <v>1682.08</v>
      </c>
      <c r="J58" s="19" t="n">
        <v>32957.12</v>
      </c>
      <c r="K58" s="18" t="n">
        <v>12</v>
      </c>
      <c r="L58" s="20" t="n">
        <v>0.446233626966998</v>
      </c>
    </row>
    <row r="59">
      <c r="A59" s="22" t="inlineStr">
        <is>
          <t>NLD</t>
        </is>
      </c>
      <c r="B59" s="22" t="inlineStr">
        <is>
          <t>2025-08</t>
        </is>
      </c>
      <c r="C59" s="23" t="n">
        <v>17</v>
      </c>
      <c r="D59" s="23" t="n">
        <v>938</v>
      </c>
      <c r="E59" s="24" t="n">
        <v>47562.56</v>
      </c>
      <c r="F59" s="24" t="n">
        <v>948</v>
      </c>
      <c r="G59" s="24" t="n">
        <v>46614.56</v>
      </c>
      <c r="H59" s="24" t="n">
        <v>24609.5</v>
      </c>
      <c r="I59" s="24" t="n">
        <v>1254.56</v>
      </c>
      <c r="J59" s="24" t="n">
        <v>20750.5</v>
      </c>
      <c r="K59" s="23" t="n">
        <v>12</v>
      </c>
      <c r="L59" s="25" t="n">
        <v>0.445150613885447</v>
      </c>
    </row>
    <row r="60">
      <c r="A60" s="17" t="inlineStr">
        <is>
          <t>NLD</t>
        </is>
      </c>
      <c r="B60" s="17" t="inlineStr">
        <is>
          <t>2025-09</t>
        </is>
      </c>
      <c r="C60" s="18" t="n">
        <v>17</v>
      </c>
      <c r="D60" s="18" t="n">
        <v>1106</v>
      </c>
      <c r="E60" s="19" t="n">
        <v>61093.16</v>
      </c>
      <c r="F60" s="19" t="n">
        <v>948</v>
      </c>
      <c r="G60" s="19" t="n">
        <v>60145.16</v>
      </c>
      <c r="H60" s="19" t="n">
        <v>33506</v>
      </c>
      <c r="I60" s="19" t="n">
        <v>1442.72</v>
      </c>
      <c r="J60" s="19" t="n">
        <v>25196.44</v>
      </c>
      <c r="K60" s="18" t="n">
        <v>12</v>
      </c>
      <c r="L60" s="20" t="n">
        <v>0.4189271422671417</v>
      </c>
    </row>
    <row r="61">
      <c r="A61" s="22" t="inlineStr">
        <is>
          <t>NLD</t>
        </is>
      </c>
      <c r="B61" s="22" t="inlineStr">
        <is>
          <t>2025-10</t>
        </is>
      </c>
      <c r="C61" s="23" t="n">
        <v>18</v>
      </c>
      <c r="D61" s="23" t="n">
        <v>1098</v>
      </c>
      <c r="E61" s="24" t="n">
        <v>65305.26</v>
      </c>
      <c r="F61" s="24" t="n">
        <v>948</v>
      </c>
      <c r="G61" s="24" t="n">
        <v>64357.26</v>
      </c>
      <c r="H61" s="24" t="n">
        <v>33819</v>
      </c>
      <c r="I61" s="24" t="n">
        <v>1445.76</v>
      </c>
      <c r="J61" s="24" t="n">
        <v>29092.5</v>
      </c>
      <c r="K61" s="23" t="n">
        <v>12</v>
      </c>
      <c r="L61" s="25" t="n">
        <v>0.4520469019346069</v>
      </c>
    </row>
    <row r="62">
      <c r="A62" s="17" t="inlineStr">
        <is>
          <t>NLD</t>
        </is>
      </c>
      <c r="B62" s="17" t="inlineStr">
        <is>
          <t>2025-11</t>
        </is>
      </c>
      <c r="C62" s="18" t="n">
        <v>18</v>
      </c>
      <c r="D62" s="18" t="n">
        <v>1046</v>
      </c>
      <c r="E62" s="19" t="n">
        <v>61670.96</v>
      </c>
      <c r="F62" s="19" t="n">
        <v>948</v>
      </c>
      <c r="G62" s="19" t="n">
        <v>60722.96</v>
      </c>
      <c r="H62" s="19" t="n">
        <v>32333</v>
      </c>
      <c r="I62" s="19" t="n">
        <v>1387.52</v>
      </c>
      <c r="J62" s="19" t="n">
        <v>27002.44</v>
      </c>
      <c r="K62" s="18" t="n">
        <v>12</v>
      </c>
      <c r="L62" s="20" t="n">
        <v>0.4446825385323772</v>
      </c>
    </row>
    <row r="63">
      <c r="A63" s="22" t="inlineStr">
        <is>
          <t>NLD</t>
        </is>
      </c>
      <c r="B63" s="22" t="inlineStr">
        <is>
          <t>2025-12</t>
        </is>
      </c>
      <c r="C63" s="23" t="n">
        <v>16</v>
      </c>
      <c r="D63" s="23" t="n">
        <v>849</v>
      </c>
      <c r="E63" s="24" t="n">
        <v>46830.66</v>
      </c>
      <c r="F63" s="24" t="n">
        <v>948</v>
      </c>
      <c r="G63" s="24" t="n">
        <v>45882.66</v>
      </c>
      <c r="H63" s="24" t="n">
        <v>24298.5</v>
      </c>
      <c r="I63" s="24" t="n">
        <v>1142.88</v>
      </c>
      <c r="J63" s="24" t="n">
        <v>20441.28</v>
      </c>
      <c r="K63" s="23" t="n">
        <v>12</v>
      </c>
      <c r="L63" s="25" t="n">
        <v>0.4455120954190537</v>
      </c>
    </row>
    <row r="64">
      <c r="A64" s="17" t="inlineStr">
        <is>
          <t>POL</t>
        </is>
      </c>
      <c r="B64" s="17" t="inlineStr">
        <is>
          <t>2025-01</t>
        </is>
      </c>
      <c r="C64" s="18" t="n">
        <v>18</v>
      </c>
      <c r="D64" s="18" t="n">
        <v>1253</v>
      </c>
      <c r="E64" s="19" t="n">
        <v>76064.7</v>
      </c>
      <c r="F64" s="19" t="n">
        <v>1215.96</v>
      </c>
      <c r="G64" s="19" t="n">
        <v>74848.74000000001</v>
      </c>
      <c r="H64" s="19" t="n">
        <v>37023</v>
      </c>
      <c r="I64" s="19" t="n">
        <v>1757.19</v>
      </c>
      <c r="J64" s="19" t="n">
        <v>36068.55</v>
      </c>
      <c r="K64" s="18" t="n">
        <v>15</v>
      </c>
      <c r="L64" s="20" t="n">
        <v>0.4818858674174074</v>
      </c>
    </row>
    <row r="65">
      <c r="A65" s="22" t="inlineStr">
        <is>
          <t>POL</t>
        </is>
      </c>
      <c r="B65" s="22" t="inlineStr">
        <is>
          <t>2025-02</t>
        </is>
      </c>
      <c r="C65" s="23" t="n">
        <v>18</v>
      </c>
      <c r="D65" s="23" t="n">
        <v>1094</v>
      </c>
      <c r="E65" s="24" t="n">
        <v>67048.8</v>
      </c>
      <c r="F65" s="24" t="n">
        <v>1237.65</v>
      </c>
      <c r="G65" s="24" t="n">
        <v>65811.14999999999</v>
      </c>
      <c r="H65" s="24" t="n">
        <v>32346</v>
      </c>
      <c r="I65" s="24" t="n">
        <v>1561.62</v>
      </c>
      <c r="J65" s="24" t="n">
        <v>31903.53</v>
      </c>
      <c r="K65" s="23" t="n">
        <v>15</v>
      </c>
      <c r="L65" s="25" t="n">
        <v>0.4847739326846591</v>
      </c>
    </row>
    <row r="66">
      <c r="A66" s="17" t="inlineStr">
        <is>
          <t>POL</t>
        </is>
      </c>
      <c r="B66" s="17" t="inlineStr">
        <is>
          <t>2025-03</t>
        </is>
      </c>
      <c r="C66" s="18" t="n">
        <v>17</v>
      </c>
      <c r="D66" s="18" t="n">
        <v>1084</v>
      </c>
      <c r="E66" s="19" t="n">
        <v>63110.08</v>
      </c>
      <c r="F66" s="19" t="n">
        <v>1234.74</v>
      </c>
      <c r="G66" s="19" t="n">
        <v>61875.34</v>
      </c>
      <c r="H66" s="19" t="n">
        <v>31711</v>
      </c>
      <c r="I66" s="19" t="n">
        <v>1537.32</v>
      </c>
      <c r="J66" s="19" t="n">
        <v>28627.02</v>
      </c>
      <c r="K66" s="18" t="n">
        <v>15</v>
      </c>
      <c r="L66" s="20" t="n">
        <v>0.4626563668175399</v>
      </c>
    </row>
    <row r="67">
      <c r="A67" s="22" t="inlineStr">
        <is>
          <t>POL</t>
        </is>
      </c>
      <c r="B67" s="22" t="inlineStr">
        <is>
          <t>2025-04</t>
        </is>
      </c>
      <c r="C67" s="23" t="n">
        <v>17</v>
      </c>
      <c r="D67" s="23" t="n">
        <v>1107</v>
      </c>
      <c r="E67" s="24" t="n">
        <v>60875.13</v>
      </c>
      <c r="F67" s="24" t="n">
        <v>1210.65</v>
      </c>
      <c r="G67" s="24" t="n">
        <v>59664.48</v>
      </c>
      <c r="H67" s="24" t="n">
        <v>29198.5</v>
      </c>
      <c r="I67" s="24" t="n">
        <v>1565.61</v>
      </c>
      <c r="J67" s="24" t="n">
        <v>28900.37</v>
      </c>
      <c r="K67" s="23" t="n">
        <v>15</v>
      </c>
      <c r="L67" s="25" t="n">
        <v>0.4843814946514241</v>
      </c>
    </row>
    <row r="68">
      <c r="A68" s="17" t="inlineStr">
        <is>
          <t>POL</t>
        </is>
      </c>
      <c r="B68" s="17" t="inlineStr">
        <is>
          <t>2025-05</t>
        </is>
      </c>
      <c r="C68" s="18" t="n">
        <v>18</v>
      </c>
      <c r="D68" s="18" t="n">
        <v>1179</v>
      </c>
      <c r="E68" s="19" t="n">
        <v>69680.8</v>
      </c>
      <c r="F68" s="19" t="n">
        <v>1213.92</v>
      </c>
      <c r="G68" s="19" t="n">
        <v>68466.88</v>
      </c>
      <c r="H68" s="19" t="n">
        <v>34260</v>
      </c>
      <c r="I68" s="19" t="n">
        <v>1666.17</v>
      </c>
      <c r="J68" s="19" t="n">
        <v>32540.71</v>
      </c>
      <c r="K68" s="18" t="n">
        <v>15</v>
      </c>
      <c r="L68" s="20" t="n">
        <v>0.4752766593132329</v>
      </c>
    </row>
    <row r="69">
      <c r="A69" s="22" t="inlineStr">
        <is>
          <t>POL</t>
        </is>
      </c>
      <c r="B69" s="22" t="inlineStr">
        <is>
          <t>2025-06</t>
        </is>
      </c>
      <c r="C69" s="23" t="n">
        <v>17</v>
      </c>
      <c r="D69" s="23" t="n">
        <v>996</v>
      </c>
      <c r="E69" s="24" t="n">
        <v>59248.42</v>
      </c>
      <c r="F69" s="24" t="n">
        <v>1210.5</v>
      </c>
      <c r="G69" s="24" t="n">
        <v>58037.92</v>
      </c>
      <c r="H69" s="24" t="n">
        <v>29025</v>
      </c>
      <c r="I69" s="24" t="n">
        <v>1429.08</v>
      </c>
      <c r="J69" s="24" t="n">
        <v>27583.84</v>
      </c>
      <c r="K69" s="23" t="n">
        <v>15</v>
      </c>
      <c r="L69" s="25" t="n">
        <v>0.4752727182504128</v>
      </c>
    </row>
    <row r="70">
      <c r="A70" s="17" t="inlineStr">
        <is>
          <t>POL</t>
        </is>
      </c>
      <c r="B70" s="17" t="inlineStr">
        <is>
          <t>2025-07</t>
        </is>
      </c>
      <c r="C70" s="18" t="n">
        <v>18</v>
      </c>
      <c r="D70" s="18" t="n">
        <v>1047</v>
      </c>
      <c r="E70" s="19" t="n">
        <v>62049.71</v>
      </c>
      <c r="F70" s="19" t="n">
        <v>1213.83</v>
      </c>
      <c r="G70" s="19" t="n">
        <v>60835.88</v>
      </c>
      <c r="H70" s="19" t="n">
        <v>31167</v>
      </c>
      <c r="I70" s="19" t="n">
        <v>1503.81</v>
      </c>
      <c r="J70" s="19" t="n">
        <v>28165.07</v>
      </c>
      <c r="K70" s="18" t="n">
        <v>15</v>
      </c>
      <c r="L70" s="20" t="n">
        <v>0.4629680708161039</v>
      </c>
    </row>
    <row r="71">
      <c r="A71" s="22" t="inlineStr">
        <is>
          <t>POL</t>
        </is>
      </c>
      <c r="B71" s="22" t="inlineStr">
        <is>
          <t>2025-08</t>
        </is>
      </c>
      <c r="C71" s="23" t="n">
        <v>17</v>
      </c>
      <c r="D71" s="23" t="n">
        <v>1171</v>
      </c>
      <c r="E71" s="24" t="n">
        <v>68449.27</v>
      </c>
      <c r="F71" s="24" t="n">
        <v>1211.79</v>
      </c>
      <c r="G71" s="24" t="n">
        <v>67237.48</v>
      </c>
      <c r="H71" s="24" t="n">
        <v>34588</v>
      </c>
      <c r="I71" s="24" t="n">
        <v>1644.33</v>
      </c>
      <c r="J71" s="24" t="n">
        <v>31005.15</v>
      </c>
      <c r="K71" s="23" t="n">
        <v>15</v>
      </c>
      <c r="L71" s="25" t="n">
        <v>0.461128971520051</v>
      </c>
    </row>
    <row r="72">
      <c r="A72" s="17" t="inlineStr">
        <is>
          <t>POL</t>
        </is>
      </c>
      <c r="B72" s="17" t="inlineStr">
        <is>
          <t>2025-09</t>
        </is>
      </c>
      <c r="C72" s="18" t="n">
        <v>17</v>
      </c>
      <c r="D72" s="18" t="n">
        <v>925</v>
      </c>
      <c r="E72" s="19" t="n">
        <v>49915.4</v>
      </c>
      <c r="F72" s="19" t="n">
        <v>1212.45</v>
      </c>
      <c r="G72" s="19" t="n">
        <v>48702.95</v>
      </c>
      <c r="H72" s="19" t="n">
        <v>26840.5</v>
      </c>
      <c r="I72" s="19" t="n">
        <v>1341.75</v>
      </c>
      <c r="J72" s="19" t="n">
        <v>20520.7</v>
      </c>
      <c r="K72" s="18" t="n">
        <v>15</v>
      </c>
      <c r="L72" s="20" t="n">
        <v>0.4213440869598248</v>
      </c>
    </row>
    <row r="73">
      <c r="A73" s="22" t="inlineStr">
        <is>
          <t>POL</t>
        </is>
      </c>
      <c r="B73" s="22" t="inlineStr">
        <is>
          <t>2025-10</t>
        </is>
      </c>
      <c r="C73" s="23" t="n">
        <v>18</v>
      </c>
      <c r="D73" s="23" t="n">
        <v>1184</v>
      </c>
      <c r="E73" s="24" t="n">
        <v>69915.22</v>
      </c>
      <c r="F73" s="24" t="n">
        <v>1215.36</v>
      </c>
      <c r="G73" s="24" t="n">
        <v>68699.86</v>
      </c>
      <c r="H73" s="24" t="n">
        <v>35037.5</v>
      </c>
      <c r="I73" s="24" t="n">
        <v>1672.32</v>
      </c>
      <c r="J73" s="24" t="n">
        <v>31990.04</v>
      </c>
      <c r="K73" s="23" t="n">
        <v>15</v>
      </c>
      <c r="L73" s="25" t="n">
        <v>0.4656492749766885</v>
      </c>
    </row>
    <row r="74">
      <c r="A74" s="17" t="inlineStr">
        <is>
          <t>POL</t>
        </is>
      </c>
      <c r="B74" s="17" t="inlineStr">
        <is>
          <t>2025-11</t>
        </is>
      </c>
      <c r="C74" s="18" t="n">
        <v>18</v>
      </c>
      <c r="D74" s="18" t="n">
        <v>1081</v>
      </c>
      <c r="E74" s="19" t="n">
        <v>65560.87</v>
      </c>
      <c r="F74" s="19" t="n">
        <v>1218.54</v>
      </c>
      <c r="G74" s="19" t="n">
        <v>64342.33</v>
      </c>
      <c r="H74" s="19" t="n">
        <v>33154</v>
      </c>
      <c r="I74" s="19" t="n">
        <v>1545.63</v>
      </c>
      <c r="J74" s="19" t="n">
        <v>29642.7</v>
      </c>
      <c r="K74" s="18" t="n">
        <v>15</v>
      </c>
      <c r="L74" s="20" t="n">
        <v>0.4607029307145079</v>
      </c>
    </row>
    <row r="75">
      <c r="A75" s="22" t="inlineStr">
        <is>
          <t>POL</t>
        </is>
      </c>
      <c r="B75" s="22" t="inlineStr">
        <is>
          <t>2025-12</t>
        </is>
      </c>
      <c r="C75" s="23" t="n">
        <v>16</v>
      </c>
      <c r="D75" s="23" t="n">
        <v>1042</v>
      </c>
      <c r="E75" s="24" t="n">
        <v>64589.39</v>
      </c>
      <c r="F75" s="24" t="n">
        <v>1222.53</v>
      </c>
      <c r="G75" s="24" t="n">
        <v>63366.86</v>
      </c>
      <c r="H75" s="24" t="n">
        <v>32347</v>
      </c>
      <c r="I75" s="24" t="n">
        <v>1473.66</v>
      </c>
      <c r="J75" s="24" t="n">
        <v>29546.2</v>
      </c>
      <c r="K75" s="23" t="n">
        <v>15</v>
      </c>
      <c r="L75" s="25" t="n">
        <v>0.4662721176337284</v>
      </c>
    </row>
  </sheetData>
  <autoFilter ref="A3:L75"/>
  <mergeCells count="1">
    <mergeCell ref="A1:L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8" customWidth="1" min="4" max="4"/>
  </cols>
  <sheetData>
    <row r="1" ht="32" customHeight="1">
      <c r="A1" s="15" t="inlineStr">
        <is>
          <t>ECB 2025 business-day arithmetic means | local units per EUR</t>
        </is>
      </c>
    </row>
    <row r="3" ht="30" customHeight="1">
      <c r="A3" s="16" t="inlineStr">
        <is>
          <t>Currency</t>
        </is>
      </c>
      <c r="B3" s="16" t="inlineStr">
        <is>
          <t>Month</t>
        </is>
      </c>
      <c r="C3" s="16" t="inlineStr">
        <is>
          <t>Local per EUR</t>
        </is>
      </c>
      <c r="D3" s="16" t="inlineStr">
        <is>
          <t>Observations</t>
        </is>
      </c>
    </row>
    <row r="4">
      <c r="A4" s="17" t="inlineStr">
        <is>
          <t>PLN</t>
        </is>
      </c>
      <c r="B4" s="17" t="inlineStr">
        <is>
          <t>2025-01</t>
        </is>
      </c>
      <c r="C4" s="26" t="n">
        <v>4.2466545455</v>
      </c>
      <c r="D4" s="18" t="n">
        <v>22</v>
      </c>
    </row>
    <row r="5">
      <c r="A5" s="22" t="inlineStr">
        <is>
          <t>PLN</t>
        </is>
      </c>
      <c r="B5" s="22" t="inlineStr">
        <is>
          <t>2025-02</t>
        </is>
      </c>
      <c r="C5" s="27" t="n">
        <v>4.172225</v>
      </c>
      <c r="D5" s="23" t="n">
        <v>20</v>
      </c>
    </row>
    <row r="6">
      <c r="A6" s="17" t="inlineStr">
        <is>
          <t>PLN</t>
        </is>
      </c>
      <c r="B6" s="17" t="inlineStr">
        <is>
          <t>2025-03</t>
        </is>
      </c>
      <c r="C6" s="26" t="n">
        <v>4.1820095238</v>
      </c>
      <c r="D6" s="18" t="n">
        <v>21</v>
      </c>
    </row>
    <row r="7">
      <c r="A7" s="22" t="inlineStr">
        <is>
          <t>PLN</t>
        </is>
      </c>
      <c r="B7" s="22" t="inlineStr">
        <is>
          <t>2025-04</t>
        </is>
      </c>
      <c r="C7" s="27" t="n">
        <v>4.26522</v>
      </c>
      <c r="D7" s="23" t="n">
        <v>20</v>
      </c>
    </row>
    <row r="8">
      <c r="A8" s="17" t="inlineStr">
        <is>
          <t>PLN</t>
        </is>
      </c>
      <c r="B8" s="17" t="inlineStr">
        <is>
          <t>2025-05</t>
        </is>
      </c>
      <c r="C8" s="26" t="n">
        <v>4.2538</v>
      </c>
      <c r="D8" s="18" t="n">
        <v>21</v>
      </c>
    </row>
    <row r="9">
      <c r="A9" s="22" t="inlineStr">
        <is>
          <t>PLN</t>
        </is>
      </c>
      <c r="B9" s="22" t="inlineStr">
        <is>
          <t>2025-06</t>
        </is>
      </c>
      <c r="C9" s="27" t="n">
        <v>4.2657714286</v>
      </c>
      <c r="D9" s="23" t="n">
        <v>21</v>
      </c>
    </row>
    <row r="10">
      <c r="A10" s="17" t="inlineStr">
        <is>
          <t>PLN</t>
        </is>
      </c>
      <c r="B10" s="17" t="inlineStr">
        <is>
          <t>2025-07</t>
        </is>
      </c>
      <c r="C10" s="26" t="n">
        <v>4.2541478261</v>
      </c>
      <c r="D10" s="18" t="n">
        <v>23</v>
      </c>
    </row>
    <row r="11">
      <c r="A11" s="22" t="inlineStr">
        <is>
          <t>PLN</t>
        </is>
      </c>
      <c r="B11" s="22" t="inlineStr">
        <is>
          <t>2025-08</t>
        </is>
      </c>
      <c r="C11" s="27" t="n">
        <v>4.2613047619</v>
      </c>
      <c r="D11" s="23" t="n">
        <v>21</v>
      </c>
    </row>
    <row r="12">
      <c r="A12" s="17" t="inlineStr">
        <is>
          <t>PLN</t>
        </is>
      </c>
      <c r="B12" s="17" t="inlineStr">
        <is>
          <t>2025-09</t>
        </is>
      </c>
      <c r="C12" s="26" t="n">
        <v>4.2588863636</v>
      </c>
      <c r="D12" s="18" t="n">
        <v>22</v>
      </c>
    </row>
    <row r="13">
      <c r="A13" s="22" t="inlineStr">
        <is>
          <t>PLN</t>
        </is>
      </c>
      <c r="B13" s="22" t="inlineStr">
        <is>
          <t>2025-10</t>
        </is>
      </c>
      <c r="C13" s="27" t="n">
        <v>4.2487913043</v>
      </c>
      <c r="D13" s="23" t="n">
        <v>23</v>
      </c>
    </row>
    <row r="14">
      <c r="A14" s="17" t="inlineStr">
        <is>
          <t>PLN</t>
        </is>
      </c>
      <c r="B14" s="17" t="inlineStr">
        <is>
          <t>2025-11</t>
        </is>
      </c>
      <c r="C14" s="26" t="n">
        <v>4.237635</v>
      </c>
      <c r="D14" s="18" t="n">
        <v>20</v>
      </c>
    </row>
    <row r="15">
      <c r="A15" s="22" t="inlineStr">
        <is>
          <t>PLN</t>
        </is>
      </c>
      <c r="B15" s="22" t="inlineStr">
        <is>
          <t>2025-12</t>
        </is>
      </c>
      <c r="C15" s="27" t="n">
        <v>4.2238571429</v>
      </c>
      <c r="D15" s="23" t="n">
        <v>21</v>
      </c>
    </row>
    <row r="16">
      <c r="A16" s="17" t="inlineStr">
        <is>
          <t>CZK</t>
        </is>
      </c>
      <c r="B16" s="17" t="inlineStr">
        <is>
          <t>2025-01</t>
        </is>
      </c>
      <c r="C16" s="26" t="n">
        <v>25.1633181818</v>
      </c>
      <c r="D16" s="18" t="n">
        <v>22</v>
      </c>
    </row>
    <row r="17">
      <c r="A17" s="22" t="inlineStr">
        <is>
          <t>CZK</t>
        </is>
      </c>
      <c r="B17" s="22" t="inlineStr">
        <is>
          <t>2025-02</t>
        </is>
      </c>
      <c r="C17" s="27" t="n">
        <v>25.07665</v>
      </c>
      <c r="D17" s="23" t="n">
        <v>20</v>
      </c>
    </row>
    <row r="18">
      <c r="A18" s="17" t="inlineStr">
        <is>
          <t>CZK</t>
        </is>
      </c>
      <c r="B18" s="17" t="inlineStr">
        <is>
          <t>2025-03</t>
        </is>
      </c>
      <c r="C18" s="26" t="n">
        <v>25.0012380952</v>
      </c>
      <c r="D18" s="18" t="n">
        <v>21</v>
      </c>
    </row>
    <row r="19">
      <c r="A19" s="22" t="inlineStr">
        <is>
          <t>CZK</t>
        </is>
      </c>
      <c r="B19" s="22" t="inlineStr">
        <is>
          <t>2025-04</t>
        </is>
      </c>
      <c r="C19" s="27" t="n">
        <v>25.03895</v>
      </c>
      <c r="D19" s="23" t="n">
        <v>20</v>
      </c>
    </row>
    <row r="20">
      <c r="A20" s="17" t="inlineStr">
        <is>
          <t>CZK</t>
        </is>
      </c>
      <c r="B20" s="17" t="inlineStr">
        <is>
          <t>2025-05</t>
        </is>
      </c>
      <c r="C20" s="26" t="n">
        <v>24.9228571429</v>
      </c>
      <c r="D20" s="18" t="n">
        <v>21</v>
      </c>
    </row>
    <row r="21">
      <c r="A21" s="22" t="inlineStr">
        <is>
          <t>CZK</t>
        </is>
      </c>
      <c r="B21" s="22" t="inlineStr">
        <is>
          <t>2025-06</t>
        </is>
      </c>
      <c r="C21" s="27" t="n">
        <v>24.8042857143</v>
      </c>
      <c r="D21" s="23" t="n">
        <v>21</v>
      </c>
    </row>
    <row r="22">
      <c r="A22" s="17" t="inlineStr">
        <is>
          <t>CZK</t>
        </is>
      </c>
      <c r="B22" s="17" t="inlineStr">
        <is>
          <t>2025-07</t>
        </is>
      </c>
      <c r="C22" s="26" t="n">
        <v>24.6246086957</v>
      </c>
      <c r="D22" s="18" t="n">
        <v>23</v>
      </c>
    </row>
    <row r="23">
      <c r="A23" s="22" t="inlineStr">
        <is>
          <t>CZK</t>
        </is>
      </c>
      <c r="B23" s="22" t="inlineStr">
        <is>
          <t>2025-08</t>
        </is>
      </c>
      <c r="C23" s="27" t="n">
        <v>24.5166190476</v>
      </c>
      <c r="D23" s="23" t="n">
        <v>21</v>
      </c>
    </row>
    <row r="24">
      <c r="A24" s="17" t="inlineStr">
        <is>
          <t>CZK</t>
        </is>
      </c>
      <c r="B24" s="17" t="inlineStr">
        <is>
          <t>2025-09</t>
        </is>
      </c>
      <c r="C24" s="26" t="n">
        <v>24.3467727273</v>
      </c>
      <c r="D24" s="18" t="n">
        <v>22</v>
      </c>
    </row>
    <row r="25">
      <c r="A25" s="22" t="inlineStr">
        <is>
          <t>CZK</t>
        </is>
      </c>
      <c r="B25" s="22" t="inlineStr">
        <is>
          <t>2025-10</t>
        </is>
      </c>
      <c r="C25" s="27" t="n">
        <v>24.3153913043</v>
      </c>
      <c r="D25" s="23" t="n">
        <v>23</v>
      </c>
    </row>
    <row r="26">
      <c r="A26" s="17" t="inlineStr">
        <is>
          <t>CZK</t>
        </is>
      </c>
      <c r="B26" s="17" t="inlineStr">
        <is>
          <t>2025-11</t>
        </is>
      </c>
      <c r="C26" s="26" t="n">
        <v>24.23405</v>
      </c>
      <c r="D26" s="18" t="n">
        <v>20</v>
      </c>
    </row>
    <row r="27">
      <c r="A27" s="22" t="inlineStr">
        <is>
          <t>CZK</t>
        </is>
      </c>
      <c r="B27" s="22" t="inlineStr">
        <is>
          <t>2025-12</t>
        </is>
      </c>
      <c r="C27" s="27" t="n">
        <v>24.2592857143</v>
      </c>
      <c r="D27" s="23" t="n">
        <v>21</v>
      </c>
    </row>
  </sheetData>
  <autoFilter ref="A3:D27"/>
  <mergeCells count="1">
    <mergeCell ref="A1:D1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31" customWidth="1" min="4" max="4"/>
  </cols>
  <sheetData>
    <row r="1" ht="32" customHeight="1">
      <c r="A1" s="15" t="inlineStr">
        <is>
          <t>World Bank archived series | 2022–2024</t>
        </is>
      </c>
    </row>
    <row r="3" ht="30" customHeight="1">
      <c r="A3" s="16" t="inlineStr">
        <is>
          <t>Country</t>
        </is>
      </c>
      <c r="B3" s="16" t="inlineStr">
        <is>
          <t>Year</t>
        </is>
      </c>
      <c r="C3" s="16" t="inlineStr">
        <is>
          <t>Population persons</t>
        </is>
      </c>
      <c r="D3" s="16" t="inlineStr">
        <is>
          <t>GDP per capita current US$</t>
        </is>
      </c>
    </row>
    <row r="4">
      <c r="A4" s="17" t="inlineStr">
        <is>
          <t>DEU</t>
        </is>
      </c>
      <c r="B4" s="18" t="n">
        <v>2022</v>
      </c>
      <c r="C4" s="18" t="n">
        <v>83177813</v>
      </c>
      <c r="D4" s="19" t="n">
        <v>50506.5179638543</v>
      </c>
    </row>
    <row r="5">
      <c r="A5" s="22" t="inlineStr">
        <is>
          <t>DEU</t>
        </is>
      </c>
      <c r="B5" s="23" t="n">
        <v>2023</v>
      </c>
      <c r="C5" s="23" t="n">
        <v>83287273</v>
      </c>
      <c r="D5" s="24" t="n">
        <v>54776.7668235491</v>
      </c>
    </row>
    <row r="6">
      <c r="A6" s="17" t="inlineStr">
        <is>
          <t>DEU</t>
        </is>
      </c>
      <c r="B6" s="18" t="n">
        <v>2024</v>
      </c>
      <c r="C6" s="18" t="n">
        <v>83516593</v>
      </c>
      <c r="D6" s="19" t="n">
        <v>56103.7323182554</v>
      </c>
    </row>
    <row r="7">
      <c r="A7" s="22" t="inlineStr">
        <is>
          <t>FRA</t>
        </is>
      </c>
      <c r="B7" s="23" t="n">
        <v>2022</v>
      </c>
      <c r="C7" s="23" t="n">
        <v>68184457</v>
      </c>
      <c r="D7" s="24" t="n">
        <v>40988.6396406579</v>
      </c>
    </row>
    <row r="8">
      <c r="A8" s="17" t="inlineStr">
        <is>
          <t>FRA</t>
        </is>
      </c>
      <c r="B8" s="18" t="n">
        <v>2023</v>
      </c>
      <c r="C8" s="18" t="n">
        <v>68372286</v>
      </c>
      <c r="D8" s="19" t="n">
        <v>44700.1384177544</v>
      </c>
    </row>
    <row r="9">
      <c r="A9" s="22" t="inlineStr">
        <is>
          <t>FRA</t>
        </is>
      </c>
      <c r="B9" s="23" t="n">
        <v>2024</v>
      </c>
      <c r="C9" s="23" t="n">
        <v>68551653</v>
      </c>
      <c r="D9" s="24" t="n">
        <v>46103.0840855884</v>
      </c>
    </row>
    <row r="10">
      <c r="A10" s="17" t="inlineStr">
        <is>
          <t>NLD</t>
        </is>
      </c>
      <c r="B10" s="18" t="n">
        <v>2022</v>
      </c>
      <c r="C10" s="18" t="n">
        <v>17700982</v>
      </c>
      <c r="D10" s="19" t="n">
        <v>59123.318556487</v>
      </c>
    </row>
    <row r="11">
      <c r="A11" s="22" t="inlineStr">
        <is>
          <t>NLD</t>
        </is>
      </c>
      <c r="B11" s="23" t="n">
        <v>2023</v>
      </c>
      <c r="C11" s="23" t="n">
        <v>17877117</v>
      </c>
      <c r="D11" s="24" t="n">
        <v>63515.6030780019</v>
      </c>
    </row>
    <row r="12">
      <c r="A12" s="17" t="inlineStr">
        <is>
          <t>NLD</t>
        </is>
      </c>
      <c r="B12" s="18" t="n">
        <v>2024</v>
      </c>
      <c r="C12" s="18" t="n">
        <v>17993485</v>
      </c>
      <c r="D12" s="19" t="n">
        <v>67465.3208126875</v>
      </c>
    </row>
    <row r="13">
      <c r="A13" s="22" t="inlineStr">
        <is>
          <t>POL</t>
        </is>
      </c>
      <c r="B13" s="23" t="n">
        <v>2022</v>
      </c>
      <c r="C13" s="23" t="n">
        <v>36821749</v>
      </c>
      <c r="D13" s="24" t="n">
        <v>18891.2121169279</v>
      </c>
    </row>
    <row r="14">
      <c r="A14" s="17" t="inlineStr">
        <is>
          <t>POL</t>
        </is>
      </c>
      <c r="B14" s="18" t="n">
        <v>2023</v>
      </c>
      <c r="C14" s="18" t="n">
        <v>36687353</v>
      </c>
      <c r="D14" s="19" t="n">
        <v>22145.2660647429</v>
      </c>
    </row>
    <row r="15">
      <c r="A15" s="22" t="inlineStr">
        <is>
          <t>POL</t>
        </is>
      </c>
      <c r="B15" s="23" t="n">
        <v>2024</v>
      </c>
      <c r="C15" s="23" t="n">
        <v>36559233</v>
      </c>
      <c r="D15" s="24" t="n">
        <v>25103.565661423</v>
      </c>
    </row>
    <row r="16">
      <c r="A16" s="17" t="inlineStr">
        <is>
          <t>CZE</t>
        </is>
      </c>
      <c r="B16" s="18" t="n">
        <v>2022</v>
      </c>
      <c r="C16" s="18" t="n">
        <v>10672118</v>
      </c>
      <c r="D16" s="19" t="n">
        <v>28282.2236715857</v>
      </c>
    </row>
    <row r="17">
      <c r="A17" s="22" t="inlineStr">
        <is>
          <t>CZE</t>
        </is>
      </c>
      <c r="B17" s="23" t="n">
        <v>2023</v>
      </c>
      <c r="C17" s="23" t="n">
        <v>10864042</v>
      </c>
      <c r="D17" s="24" t="n">
        <v>31761.5944102491</v>
      </c>
    </row>
    <row r="18">
      <c r="A18" s="17" t="inlineStr">
        <is>
          <t>CZE</t>
        </is>
      </c>
      <c r="B18" s="18" t="n">
        <v>2024</v>
      </c>
      <c r="C18" s="18" t="n">
        <v>10905028</v>
      </c>
      <c r="D18" s="19" t="n">
        <v>31827.7552539413</v>
      </c>
    </row>
    <row r="19">
      <c r="A19" s="22" t="inlineStr">
        <is>
          <t>ESP</t>
        </is>
      </c>
      <c r="B19" s="23" t="n">
        <v>2022</v>
      </c>
      <c r="C19" s="23" t="n">
        <v>47786102</v>
      </c>
      <c r="D19" s="24" t="n">
        <v>30319.4987196616</v>
      </c>
    </row>
    <row r="20">
      <c r="A20" s="17" t="inlineStr">
        <is>
          <t>ESP</t>
        </is>
      </c>
      <c r="B20" s="18" t="n">
        <v>2023</v>
      </c>
      <c r="C20" s="18" t="n">
        <v>48352528</v>
      </c>
      <c r="D20" s="19" t="n">
        <v>33493.2225409111</v>
      </c>
    </row>
    <row r="21">
      <c r="A21" s="22" t="inlineStr">
        <is>
          <t>ESP</t>
        </is>
      </c>
      <c r="B21" s="23" t="n">
        <v>2024</v>
      </c>
      <c r="C21" s="23" t="n">
        <v>48848840</v>
      </c>
      <c r="D21" s="24" t="n">
        <v>35326.7683069278</v>
      </c>
    </row>
  </sheetData>
  <autoFilter ref="A3:D21"/>
  <mergeCells count="1">
    <mergeCell ref="A1:D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26" customWidth="1" min="3" max="3"/>
    <col width="24" customWidth="1" min="4" max="4"/>
    <col width="12" customWidth="1" min="5" max="5"/>
    <col width="19" customWidth="1" min="6" max="6"/>
  </cols>
  <sheetData>
    <row r="1" ht="32" customHeight="1">
      <c r="A1" s="15" t="inlineStr">
        <is>
          <t>Client scenario model | annual incremental contribution after fixed cost</t>
        </is>
      </c>
    </row>
    <row r="3" ht="30" customHeight="1">
      <c r="A3" s="16" t="inlineStr">
        <is>
          <t>Country</t>
        </is>
      </c>
      <c r="B3" s="16" t="inlineStr">
        <is>
          <t>Scenario</t>
        </is>
      </c>
      <c r="C3" s="16" t="inlineStr">
        <is>
          <t>Incremental EUR/year</t>
        </is>
      </c>
      <c r="D3" s="16" t="inlineStr">
        <is>
          <t>Capex EUR year zero</t>
        </is>
      </c>
      <c r="E3" s="16" t="inlineStr">
        <is>
          <t>FTE</t>
        </is>
      </c>
      <c r="F3" s="16" t="inlineStr">
        <is>
          <t>Payback years</t>
        </is>
      </c>
    </row>
    <row r="4">
      <c r="A4" s="17" t="inlineStr">
        <is>
          <t>DEU</t>
        </is>
      </c>
      <c r="B4" s="17" t="inlineStr">
        <is>
          <t>low</t>
        </is>
      </c>
      <c r="C4" s="19" t="n">
        <v>-34005.86</v>
      </c>
      <c r="D4" s="19" t="n">
        <v>280000</v>
      </c>
      <c r="E4" s="18" t="n">
        <v>5</v>
      </c>
      <c r="F4" s="17" t="n"/>
    </row>
    <row r="5">
      <c r="A5" s="22" t="inlineStr">
        <is>
          <t>DEU</t>
        </is>
      </c>
      <c r="B5" s="22" t="inlineStr">
        <is>
          <t>base</t>
        </is>
      </c>
      <c r="C5" s="24" t="n">
        <v>10088.64</v>
      </c>
      <c r="D5" s="24" t="n">
        <v>280000</v>
      </c>
      <c r="E5" s="23" t="n">
        <v>5</v>
      </c>
      <c r="F5" s="22" t="n">
        <v>27.754</v>
      </c>
    </row>
    <row r="6">
      <c r="A6" s="17" t="inlineStr">
        <is>
          <t>DEU</t>
        </is>
      </c>
      <c r="B6" s="17" t="inlineStr">
        <is>
          <t>high</t>
        </is>
      </c>
      <c r="C6" s="19" t="n">
        <v>54183.14</v>
      </c>
      <c r="D6" s="19" t="n">
        <v>280000</v>
      </c>
      <c r="E6" s="18" t="n">
        <v>5</v>
      </c>
      <c r="F6" s="17" t="n">
        <v>5.168</v>
      </c>
    </row>
    <row r="7">
      <c r="A7" s="22" t="inlineStr">
        <is>
          <t>DEU</t>
        </is>
      </c>
      <c r="B7" s="22" t="inlineStr">
        <is>
          <t>stress</t>
        </is>
      </c>
      <c r="C7" s="24" t="n">
        <v>-13583.04</v>
      </c>
      <c r="D7" s="24" t="n">
        <v>280000</v>
      </c>
      <c r="E7" s="23" t="n">
        <v>5</v>
      </c>
      <c r="F7" s="22" t="n"/>
    </row>
    <row r="8">
      <c r="A8" s="17" t="inlineStr">
        <is>
          <t>FRA</t>
        </is>
      </c>
      <c r="B8" s="17" t="inlineStr">
        <is>
          <t>low</t>
        </is>
      </c>
      <c r="C8" s="19" t="n">
        <v>-19475.69</v>
      </c>
      <c r="D8" s="19" t="n">
        <v>210000</v>
      </c>
      <c r="E8" s="18" t="n">
        <v>4</v>
      </c>
      <c r="F8" s="17" t="n"/>
    </row>
    <row r="9">
      <c r="A9" s="22" t="inlineStr">
        <is>
          <t>FRA</t>
        </is>
      </c>
      <c r="B9" s="22" t="inlineStr">
        <is>
          <t>base</t>
        </is>
      </c>
      <c r="C9" s="24" t="n">
        <v>27132.78</v>
      </c>
      <c r="D9" s="24" t="n">
        <v>210000</v>
      </c>
      <c r="E9" s="23" t="n">
        <v>4</v>
      </c>
      <c r="F9" s="22" t="n">
        <v>7.74</v>
      </c>
    </row>
    <row r="10">
      <c r="A10" s="17" t="inlineStr">
        <is>
          <t>FRA</t>
        </is>
      </c>
      <c r="B10" s="17" t="inlineStr">
        <is>
          <t>high</t>
        </is>
      </c>
      <c r="C10" s="19" t="n">
        <v>73741.24000000001</v>
      </c>
      <c r="D10" s="19" t="n">
        <v>210000</v>
      </c>
      <c r="E10" s="18" t="n">
        <v>4</v>
      </c>
      <c r="F10" s="17" t="n">
        <v>2.848</v>
      </c>
    </row>
    <row r="11">
      <c r="A11" s="22" t="inlineStr">
        <is>
          <t>FRA</t>
        </is>
      </c>
      <c r="B11" s="22" t="inlineStr">
        <is>
          <t>stress</t>
        </is>
      </c>
      <c r="C11" s="24" t="n">
        <v>3097.9</v>
      </c>
      <c r="D11" s="24" t="n">
        <v>210000</v>
      </c>
      <c r="E11" s="23" t="n">
        <v>4</v>
      </c>
      <c r="F11" s="22" t="n">
        <v>67.788</v>
      </c>
    </row>
    <row r="12">
      <c r="A12" s="17" t="inlineStr">
        <is>
          <t>NLD</t>
        </is>
      </c>
      <c r="B12" s="17" t="inlineStr">
        <is>
          <t>low</t>
        </is>
      </c>
      <c r="C12" s="19" t="n">
        <v>10831.94</v>
      </c>
      <c r="D12" s="19" t="n">
        <v>140000</v>
      </c>
      <c r="E12" s="18" t="n">
        <v>3</v>
      </c>
      <c r="F12" s="17" t="n">
        <v>12.925</v>
      </c>
    </row>
    <row r="13">
      <c r="A13" s="22" t="inlineStr">
        <is>
          <t>NLD</t>
        </is>
      </c>
      <c r="B13" s="22" t="inlineStr">
        <is>
          <t>base</t>
        </is>
      </c>
      <c r="C13" s="24" t="n">
        <v>64215.06</v>
      </c>
      <c r="D13" s="24" t="n">
        <v>140000</v>
      </c>
      <c r="E13" s="23" t="n">
        <v>3</v>
      </c>
      <c r="F13" s="22" t="n">
        <v>2.18</v>
      </c>
    </row>
    <row r="14">
      <c r="A14" s="17" t="inlineStr">
        <is>
          <t>NLD</t>
        </is>
      </c>
      <c r="B14" s="17" t="inlineStr">
        <is>
          <t>high</t>
        </is>
      </c>
      <c r="C14" s="19" t="n">
        <v>117598.17</v>
      </c>
      <c r="D14" s="19" t="n">
        <v>140000</v>
      </c>
      <c r="E14" s="18" t="n">
        <v>3</v>
      </c>
      <c r="F14" s="17" t="n">
        <v>1.19</v>
      </c>
    </row>
    <row r="15">
      <c r="A15" s="22" t="inlineStr">
        <is>
          <t>NLD</t>
        </is>
      </c>
      <c r="B15" s="22" t="inlineStr">
        <is>
          <t>stress</t>
        </is>
      </c>
      <c r="C15" s="24" t="n">
        <v>37623.47</v>
      </c>
      <c r="D15" s="24" t="n">
        <v>140000</v>
      </c>
      <c r="E15" s="23" t="n">
        <v>3</v>
      </c>
      <c r="F15" s="22" t="n">
        <v>3.721</v>
      </c>
    </row>
    <row r="16">
      <c r="A16" s="17" t="inlineStr">
        <is>
          <t>POL</t>
        </is>
      </c>
      <c r="B16" s="17" t="inlineStr">
        <is>
          <t>low</t>
        </is>
      </c>
      <c r="C16" s="19" t="n">
        <v>25399.71</v>
      </c>
      <c r="D16" s="19" t="n">
        <v>110000</v>
      </c>
      <c r="E16" s="18" t="n">
        <v>3</v>
      </c>
      <c r="F16" s="17" t="n">
        <v>4.331</v>
      </c>
    </row>
    <row r="17">
      <c r="A17" s="22" t="inlineStr">
        <is>
          <t>POL</t>
        </is>
      </c>
      <c r="B17" s="22" t="inlineStr">
        <is>
          <t>base</t>
        </is>
      </c>
      <c r="C17" s="24" t="n">
        <v>83612.47</v>
      </c>
      <c r="D17" s="24" t="n">
        <v>110000</v>
      </c>
      <c r="E17" s="23" t="n">
        <v>3</v>
      </c>
      <c r="F17" s="22" t="n">
        <v>1.316</v>
      </c>
    </row>
    <row r="18">
      <c r="A18" s="17" t="inlineStr">
        <is>
          <t>POL</t>
        </is>
      </c>
      <c r="B18" s="17" t="inlineStr">
        <is>
          <t>high</t>
        </is>
      </c>
      <c r="C18" s="19" t="n">
        <v>141825.23</v>
      </c>
      <c r="D18" s="19" t="n">
        <v>110000</v>
      </c>
      <c r="E18" s="18" t="n">
        <v>3</v>
      </c>
      <c r="F18" s="17" t="n">
        <v>0.776</v>
      </c>
    </row>
    <row r="19">
      <c r="A19" s="22" t="inlineStr">
        <is>
          <t>POL</t>
        </is>
      </c>
      <c r="B19" s="22" t="inlineStr">
        <is>
          <t>stress</t>
        </is>
      </c>
      <c r="C19" s="24" t="n">
        <v>-40742.81</v>
      </c>
      <c r="D19" s="24" t="n">
        <v>110000</v>
      </c>
      <c r="E19" s="23" t="n">
        <v>3</v>
      </c>
      <c r="F19" s="22" t="n"/>
    </row>
    <row r="20">
      <c r="A20" s="17" t="inlineStr">
        <is>
          <t>CZE</t>
        </is>
      </c>
      <c r="B20" s="17" t="inlineStr">
        <is>
          <t>low</t>
        </is>
      </c>
      <c r="C20" s="19" t="n">
        <v>31456.76</v>
      </c>
      <c r="D20" s="19" t="n">
        <v>95000</v>
      </c>
      <c r="E20" s="18" t="n">
        <v>2</v>
      </c>
      <c r="F20" s="17" t="n">
        <v>3.02</v>
      </c>
    </row>
    <row r="21">
      <c r="A21" s="22" t="inlineStr">
        <is>
          <t>CZE</t>
        </is>
      </c>
      <c r="B21" s="22" t="inlineStr">
        <is>
          <t>base</t>
        </is>
      </c>
      <c r="C21" s="24" t="n">
        <v>95382.94</v>
      </c>
      <c r="D21" s="24" t="n">
        <v>95000</v>
      </c>
      <c r="E21" s="23" t="n">
        <v>2</v>
      </c>
      <c r="F21" s="22" t="n">
        <v>0.996</v>
      </c>
    </row>
    <row r="22">
      <c r="A22" s="17" t="inlineStr">
        <is>
          <t>CZE</t>
        </is>
      </c>
      <c r="B22" s="17" t="inlineStr">
        <is>
          <t>high</t>
        </is>
      </c>
      <c r="C22" s="19" t="n">
        <v>159309.12</v>
      </c>
      <c r="D22" s="19" t="n">
        <v>95000</v>
      </c>
      <c r="E22" s="18" t="n">
        <v>2</v>
      </c>
      <c r="F22" s="17" t="n">
        <v>0.596</v>
      </c>
    </row>
    <row r="23">
      <c r="A23" s="22" t="inlineStr">
        <is>
          <t>CZE</t>
        </is>
      </c>
      <c r="B23" s="22" t="inlineStr">
        <is>
          <t>stress</t>
        </is>
      </c>
      <c r="C23" s="24" t="n">
        <v>-37826.95</v>
      </c>
      <c r="D23" s="24" t="n">
        <v>95000</v>
      </c>
      <c r="E23" s="23" t="n">
        <v>2</v>
      </c>
      <c r="F23" s="22" t="n"/>
    </row>
    <row r="24">
      <c r="A24" s="17" t="inlineStr">
        <is>
          <t>ESP</t>
        </is>
      </c>
      <c r="B24" s="17" t="inlineStr">
        <is>
          <t>low</t>
        </is>
      </c>
      <c r="C24" s="19" t="n">
        <v>33162.35</v>
      </c>
      <c r="D24" s="19" t="n">
        <v>130000</v>
      </c>
      <c r="E24" s="18" t="n">
        <v>3</v>
      </c>
      <c r="F24" s="17" t="n">
        <v>3.92</v>
      </c>
    </row>
    <row r="25">
      <c r="A25" s="22" t="inlineStr">
        <is>
          <t>ESP</t>
        </is>
      </c>
      <c r="B25" s="22" t="inlineStr">
        <is>
          <t>base</t>
        </is>
      </c>
      <c r="C25" s="24" t="n">
        <v>102716.37</v>
      </c>
      <c r="D25" s="24" t="n">
        <v>130000</v>
      </c>
      <c r="E25" s="23" t="n">
        <v>3</v>
      </c>
      <c r="F25" s="22" t="n">
        <v>1.266</v>
      </c>
    </row>
    <row r="26">
      <c r="A26" s="17" t="inlineStr">
        <is>
          <t>ESP</t>
        </is>
      </c>
      <c r="B26" s="17" t="inlineStr">
        <is>
          <t>high</t>
        </is>
      </c>
      <c r="C26" s="19" t="n">
        <v>172270.39</v>
      </c>
      <c r="D26" s="19" t="n">
        <v>130000</v>
      </c>
      <c r="E26" s="18" t="n">
        <v>3</v>
      </c>
      <c r="F26" s="17" t="n">
        <v>0.755</v>
      </c>
    </row>
    <row r="27">
      <c r="A27" s="22" t="inlineStr">
        <is>
          <t>ESP</t>
        </is>
      </c>
      <c r="B27" s="22" t="inlineStr">
        <is>
          <t>stress</t>
        </is>
      </c>
      <c r="C27" s="24" t="n">
        <v>70006.66</v>
      </c>
      <c r="D27" s="24" t="n">
        <v>130000</v>
      </c>
      <c r="E27" s="23" t="n">
        <v>3</v>
      </c>
      <c r="F27" s="22" t="n">
        <v>1.857</v>
      </c>
    </row>
  </sheetData>
  <autoFilter ref="A3:F27"/>
  <mergeCells count="1">
    <mergeCell ref="A1:F1"/>
  </mergeCell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4" customWidth="1" min="4" max="4"/>
    <col width="12" customWidth="1" min="5" max="5"/>
    <col width="15" customWidth="1" min="6" max="6"/>
    <col width="19" customWidth="1" min="7" max="7"/>
  </cols>
  <sheetData>
    <row r="1" ht="32" customHeight="1">
      <c r="A1" s="15" t="inlineStr">
        <is>
          <t>All single, paired and defer choices | filter Feasible = Yes</t>
        </is>
      </c>
    </row>
    <row r="3" ht="30" customHeight="1">
      <c r="A3" s="16" t="inlineStr">
        <is>
          <t>Option</t>
        </is>
      </c>
      <c r="B3" s="16" t="inlineStr">
        <is>
          <t>Scenario</t>
        </is>
      </c>
      <c r="C3" s="16" t="inlineStr">
        <is>
          <t>Incremental EUR/year</t>
        </is>
      </c>
      <c r="D3" s="16" t="inlineStr">
        <is>
          <t>Capex EUR year zero</t>
        </is>
      </c>
      <c r="E3" s="16" t="inlineStr">
        <is>
          <t>FTE</t>
        </is>
      </c>
      <c r="F3" s="16" t="inlineStr">
        <is>
          <t>Feasible</t>
        </is>
      </c>
      <c r="G3" s="16" t="inlineStr">
        <is>
          <t>Payback years</t>
        </is>
      </c>
    </row>
    <row r="4">
      <c r="A4" s="17" t="inlineStr">
        <is>
          <t>DEFER</t>
        </is>
      </c>
      <c r="B4" s="17" t="inlineStr">
        <is>
          <t>low</t>
        </is>
      </c>
      <c r="C4" s="19" t="n">
        <v>0</v>
      </c>
      <c r="D4" s="19" t="n">
        <v>0</v>
      </c>
      <c r="E4" s="18" t="n">
        <v>0</v>
      </c>
      <c r="F4" s="17" t="inlineStr">
        <is>
          <t>Yes</t>
        </is>
      </c>
      <c r="G4" s="17" t="n"/>
    </row>
    <row r="5">
      <c r="A5" s="22" t="inlineStr">
        <is>
          <t>DEFER</t>
        </is>
      </c>
      <c r="B5" s="22" t="inlineStr">
        <is>
          <t>base</t>
        </is>
      </c>
      <c r="C5" s="24" t="n">
        <v>0</v>
      </c>
      <c r="D5" s="24" t="n">
        <v>0</v>
      </c>
      <c r="E5" s="23" t="n">
        <v>0</v>
      </c>
      <c r="F5" s="22" t="inlineStr">
        <is>
          <t>Yes</t>
        </is>
      </c>
      <c r="G5" s="22" t="n"/>
    </row>
    <row r="6">
      <c r="A6" s="17" t="inlineStr">
        <is>
          <t>DEFER</t>
        </is>
      </c>
      <c r="B6" s="17" t="inlineStr">
        <is>
          <t>high</t>
        </is>
      </c>
      <c r="C6" s="19" t="n">
        <v>0</v>
      </c>
      <c r="D6" s="19" t="n">
        <v>0</v>
      </c>
      <c r="E6" s="18" t="n">
        <v>0</v>
      </c>
      <c r="F6" s="17" t="inlineStr">
        <is>
          <t>Yes</t>
        </is>
      </c>
      <c r="G6" s="17" t="n"/>
    </row>
    <row r="7">
      <c r="A7" s="22" t="inlineStr">
        <is>
          <t>DEFER</t>
        </is>
      </c>
      <c r="B7" s="22" t="inlineStr">
        <is>
          <t>stress</t>
        </is>
      </c>
      <c r="C7" s="24" t="n">
        <v>0</v>
      </c>
      <c r="D7" s="24" t="n">
        <v>0</v>
      </c>
      <c r="E7" s="23" t="n">
        <v>0</v>
      </c>
      <c r="F7" s="22" t="inlineStr">
        <is>
          <t>Yes</t>
        </is>
      </c>
      <c r="G7" s="22" t="n"/>
    </row>
    <row r="8">
      <c r="A8" s="17" t="inlineStr">
        <is>
          <t>DEU</t>
        </is>
      </c>
      <c r="B8" s="17" t="inlineStr">
        <is>
          <t>low</t>
        </is>
      </c>
      <c r="C8" s="19" t="n">
        <v>-34005.86</v>
      </c>
      <c r="D8" s="19" t="n">
        <v>280000</v>
      </c>
      <c r="E8" s="18" t="n">
        <v>5</v>
      </c>
      <c r="F8" s="17" t="inlineStr">
        <is>
          <t>Yes</t>
        </is>
      </c>
      <c r="G8" s="17" t="n"/>
    </row>
    <row r="9">
      <c r="A9" s="22" t="inlineStr">
        <is>
          <t>DEU</t>
        </is>
      </c>
      <c r="B9" s="22" t="inlineStr">
        <is>
          <t>base</t>
        </is>
      </c>
      <c r="C9" s="24" t="n">
        <v>10088.64</v>
      </c>
      <c r="D9" s="24" t="n">
        <v>280000</v>
      </c>
      <c r="E9" s="23" t="n">
        <v>5</v>
      </c>
      <c r="F9" s="22" t="inlineStr">
        <is>
          <t>Yes</t>
        </is>
      </c>
      <c r="G9" s="22" t="n">
        <v>27.754</v>
      </c>
    </row>
    <row r="10">
      <c r="A10" s="17" t="inlineStr">
        <is>
          <t>DEU</t>
        </is>
      </c>
      <c r="B10" s="17" t="inlineStr">
        <is>
          <t>high</t>
        </is>
      </c>
      <c r="C10" s="19" t="n">
        <v>54183.14</v>
      </c>
      <c r="D10" s="19" t="n">
        <v>280000</v>
      </c>
      <c r="E10" s="18" t="n">
        <v>5</v>
      </c>
      <c r="F10" s="17" t="inlineStr">
        <is>
          <t>Yes</t>
        </is>
      </c>
      <c r="G10" s="17" t="n">
        <v>5.168</v>
      </c>
    </row>
    <row r="11">
      <c r="A11" s="22" t="inlineStr">
        <is>
          <t>DEU</t>
        </is>
      </c>
      <c r="B11" s="22" t="inlineStr">
        <is>
          <t>stress</t>
        </is>
      </c>
      <c r="C11" s="24" t="n">
        <v>-13583.04</v>
      </c>
      <c r="D11" s="24" t="n">
        <v>280000</v>
      </c>
      <c r="E11" s="23" t="n">
        <v>5</v>
      </c>
      <c r="F11" s="22" t="inlineStr">
        <is>
          <t>Yes</t>
        </is>
      </c>
      <c r="G11" s="22" t="n"/>
    </row>
    <row r="12">
      <c r="A12" s="17" t="inlineStr">
        <is>
          <t>FRA</t>
        </is>
      </c>
      <c r="B12" s="17" t="inlineStr">
        <is>
          <t>low</t>
        </is>
      </c>
      <c r="C12" s="19" t="n">
        <v>-19475.69</v>
      </c>
      <c r="D12" s="19" t="n">
        <v>210000</v>
      </c>
      <c r="E12" s="18" t="n">
        <v>4</v>
      </c>
      <c r="F12" s="17" t="inlineStr">
        <is>
          <t>Yes</t>
        </is>
      </c>
      <c r="G12" s="17" t="n"/>
    </row>
    <row r="13">
      <c r="A13" s="22" t="inlineStr">
        <is>
          <t>FRA</t>
        </is>
      </c>
      <c r="B13" s="22" t="inlineStr">
        <is>
          <t>base</t>
        </is>
      </c>
      <c r="C13" s="24" t="n">
        <v>27132.78</v>
      </c>
      <c r="D13" s="24" t="n">
        <v>210000</v>
      </c>
      <c r="E13" s="23" t="n">
        <v>4</v>
      </c>
      <c r="F13" s="22" t="inlineStr">
        <is>
          <t>Yes</t>
        </is>
      </c>
      <c r="G13" s="22" t="n">
        <v>7.74</v>
      </c>
    </row>
    <row r="14">
      <c r="A14" s="17" t="inlineStr">
        <is>
          <t>FRA</t>
        </is>
      </c>
      <c r="B14" s="17" t="inlineStr">
        <is>
          <t>high</t>
        </is>
      </c>
      <c r="C14" s="19" t="n">
        <v>73741.24000000001</v>
      </c>
      <c r="D14" s="19" t="n">
        <v>210000</v>
      </c>
      <c r="E14" s="18" t="n">
        <v>4</v>
      </c>
      <c r="F14" s="17" t="inlineStr">
        <is>
          <t>Yes</t>
        </is>
      </c>
      <c r="G14" s="17" t="n">
        <v>2.848</v>
      </c>
    </row>
    <row r="15">
      <c r="A15" s="22" t="inlineStr">
        <is>
          <t>FRA</t>
        </is>
      </c>
      <c r="B15" s="22" t="inlineStr">
        <is>
          <t>stress</t>
        </is>
      </c>
      <c r="C15" s="24" t="n">
        <v>3097.9</v>
      </c>
      <c r="D15" s="24" t="n">
        <v>210000</v>
      </c>
      <c r="E15" s="23" t="n">
        <v>4</v>
      </c>
      <c r="F15" s="22" t="inlineStr">
        <is>
          <t>Yes</t>
        </is>
      </c>
      <c r="G15" s="22" t="n">
        <v>67.788</v>
      </c>
    </row>
    <row r="16">
      <c r="A16" s="17" t="inlineStr">
        <is>
          <t>NLD</t>
        </is>
      </c>
      <c r="B16" s="17" t="inlineStr">
        <is>
          <t>low</t>
        </is>
      </c>
      <c r="C16" s="19" t="n">
        <v>10831.94</v>
      </c>
      <c r="D16" s="19" t="n">
        <v>140000</v>
      </c>
      <c r="E16" s="18" t="n">
        <v>3</v>
      </c>
      <c r="F16" s="17" t="inlineStr">
        <is>
          <t>Yes</t>
        </is>
      </c>
      <c r="G16" s="17" t="n">
        <v>12.925</v>
      </c>
    </row>
    <row r="17">
      <c r="A17" s="22" t="inlineStr">
        <is>
          <t>NLD</t>
        </is>
      </c>
      <c r="B17" s="22" t="inlineStr">
        <is>
          <t>base</t>
        </is>
      </c>
      <c r="C17" s="24" t="n">
        <v>64215.06</v>
      </c>
      <c r="D17" s="24" t="n">
        <v>140000</v>
      </c>
      <c r="E17" s="23" t="n">
        <v>3</v>
      </c>
      <c r="F17" s="22" t="inlineStr">
        <is>
          <t>Yes</t>
        </is>
      </c>
      <c r="G17" s="22" t="n">
        <v>2.18</v>
      </c>
    </row>
    <row r="18">
      <c r="A18" s="17" t="inlineStr">
        <is>
          <t>NLD</t>
        </is>
      </c>
      <c r="B18" s="17" t="inlineStr">
        <is>
          <t>high</t>
        </is>
      </c>
      <c r="C18" s="19" t="n">
        <v>117598.17</v>
      </c>
      <c r="D18" s="19" t="n">
        <v>140000</v>
      </c>
      <c r="E18" s="18" t="n">
        <v>3</v>
      </c>
      <c r="F18" s="17" t="inlineStr">
        <is>
          <t>Yes</t>
        </is>
      </c>
      <c r="G18" s="17" t="n">
        <v>1.19</v>
      </c>
    </row>
    <row r="19">
      <c r="A19" s="22" t="inlineStr">
        <is>
          <t>NLD</t>
        </is>
      </c>
      <c r="B19" s="22" t="inlineStr">
        <is>
          <t>stress</t>
        </is>
      </c>
      <c r="C19" s="24" t="n">
        <v>37623.47</v>
      </c>
      <c r="D19" s="24" t="n">
        <v>140000</v>
      </c>
      <c r="E19" s="23" t="n">
        <v>3</v>
      </c>
      <c r="F19" s="22" t="inlineStr">
        <is>
          <t>Yes</t>
        </is>
      </c>
      <c r="G19" s="22" t="n">
        <v>3.721</v>
      </c>
    </row>
    <row r="20">
      <c r="A20" s="17" t="inlineStr">
        <is>
          <t>POL</t>
        </is>
      </c>
      <c r="B20" s="17" t="inlineStr">
        <is>
          <t>low</t>
        </is>
      </c>
      <c r="C20" s="19" t="n">
        <v>25399.71</v>
      </c>
      <c r="D20" s="19" t="n">
        <v>110000</v>
      </c>
      <c r="E20" s="18" t="n">
        <v>3</v>
      </c>
      <c r="F20" s="17" t="inlineStr">
        <is>
          <t>Yes</t>
        </is>
      </c>
      <c r="G20" s="17" t="n">
        <v>4.331</v>
      </c>
    </row>
    <row r="21">
      <c r="A21" s="22" t="inlineStr">
        <is>
          <t>POL</t>
        </is>
      </c>
      <c r="B21" s="22" t="inlineStr">
        <is>
          <t>base</t>
        </is>
      </c>
      <c r="C21" s="24" t="n">
        <v>83612.47</v>
      </c>
      <c r="D21" s="24" t="n">
        <v>110000</v>
      </c>
      <c r="E21" s="23" t="n">
        <v>3</v>
      </c>
      <c r="F21" s="22" t="inlineStr">
        <is>
          <t>Yes</t>
        </is>
      </c>
      <c r="G21" s="22" t="n">
        <v>1.316</v>
      </c>
    </row>
    <row r="22">
      <c r="A22" s="17" t="inlineStr">
        <is>
          <t>POL</t>
        </is>
      </c>
      <c r="B22" s="17" t="inlineStr">
        <is>
          <t>high</t>
        </is>
      </c>
      <c r="C22" s="19" t="n">
        <v>141825.23</v>
      </c>
      <c r="D22" s="19" t="n">
        <v>110000</v>
      </c>
      <c r="E22" s="18" t="n">
        <v>3</v>
      </c>
      <c r="F22" s="17" t="inlineStr">
        <is>
          <t>Yes</t>
        </is>
      </c>
      <c r="G22" s="17" t="n">
        <v>0.776</v>
      </c>
    </row>
    <row r="23">
      <c r="A23" s="22" t="inlineStr">
        <is>
          <t>POL</t>
        </is>
      </c>
      <c r="B23" s="22" t="inlineStr">
        <is>
          <t>stress</t>
        </is>
      </c>
      <c r="C23" s="24" t="n">
        <v>-40742.81</v>
      </c>
      <c r="D23" s="24" t="n">
        <v>110000</v>
      </c>
      <c r="E23" s="23" t="n">
        <v>3</v>
      </c>
      <c r="F23" s="22" t="inlineStr">
        <is>
          <t>Yes</t>
        </is>
      </c>
      <c r="G23" s="22" t="n"/>
    </row>
    <row r="24">
      <c r="A24" s="17" t="inlineStr">
        <is>
          <t>CZE</t>
        </is>
      </c>
      <c r="B24" s="17" t="inlineStr">
        <is>
          <t>low</t>
        </is>
      </c>
      <c r="C24" s="19" t="n">
        <v>31456.76</v>
      </c>
      <c r="D24" s="19" t="n">
        <v>95000</v>
      </c>
      <c r="E24" s="18" t="n">
        <v>2</v>
      </c>
      <c r="F24" s="17" t="inlineStr">
        <is>
          <t>Yes</t>
        </is>
      </c>
      <c r="G24" s="17" t="n">
        <v>3.02</v>
      </c>
    </row>
    <row r="25">
      <c r="A25" s="22" t="inlineStr">
        <is>
          <t>CZE</t>
        </is>
      </c>
      <c r="B25" s="22" t="inlineStr">
        <is>
          <t>base</t>
        </is>
      </c>
      <c r="C25" s="24" t="n">
        <v>95382.94</v>
      </c>
      <c r="D25" s="24" t="n">
        <v>95000</v>
      </c>
      <c r="E25" s="23" t="n">
        <v>2</v>
      </c>
      <c r="F25" s="22" t="inlineStr">
        <is>
          <t>Yes</t>
        </is>
      </c>
      <c r="G25" s="22" t="n">
        <v>0.996</v>
      </c>
    </row>
    <row r="26">
      <c r="A26" s="17" t="inlineStr">
        <is>
          <t>CZE</t>
        </is>
      </c>
      <c r="B26" s="17" t="inlineStr">
        <is>
          <t>high</t>
        </is>
      </c>
      <c r="C26" s="19" t="n">
        <v>159309.12</v>
      </c>
      <c r="D26" s="19" t="n">
        <v>95000</v>
      </c>
      <c r="E26" s="18" t="n">
        <v>2</v>
      </c>
      <c r="F26" s="17" t="inlineStr">
        <is>
          <t>Yes</t>
        </is>
      </c>
      <c r="G26" s="17" t="n">
        <v>0.596</v>
      </c>
    </row>
    <row r="27">
      <c r="A27" s="22" t="inlineStr">
        <is>
          <t>CZE</t>
        </is>
      </c>
      <c r="B27" s="22" t="inlineStr">
        <is>
          <t>stress</t>
        </is>
      </c>
      <c r="C27" s="24" t="n">
        <v>-37826.95</v>
      </c>
      <c r="D27" s="24" t="n">
        <v>95000</v>
      </c>
      <c r="E27" s="23" t="n">
        <v>2</v>
      </c>
      <c r="F27" s="22" t="inlineStr">
        <is>
          <t>Yes</t>
        </is>
      </c>
      <c r="G27" s="22" t="n"/>
    </row>
    <row r="28">
      <c r="A28" s="17" t="inlineStr">
        <is>
          <t>ESP</t>
        </is>
      </c>
      <c r="B28" s="17" t="inlineStr">
        <is>
          <t>low</t>
        </is>
      </c>
      <c r="C28" s="19" t="n">
        <v>33162.35</v>
      </c>
      <c r="D28" s="19" t="n">
        <v>130000</v>
      </c>
      <c r="E28" s="18" t="n">
        <v>3</v>
      </c>
      <c r="F28" s="17" t="inlineStr">
        <is>
          <t>Yes</t>
        </is>
      </c>
      <c r="G28" s="17" t="n">
        <v>3.92</v>
      </c>
    </row>
    <row r="29">
      <c r="A29" s="22" t="inlineStr">
        <is>
          <t>ESP</t>
        </is>
      </c>
      <c r="B29" s="22" t="inlineStr">
        <is>
          <t>base</t>
        </is>
      </c>
      <c r="C29" s="24" t="n">
        <v>102716.37</v>
      </c>
      <c r="D29" s="24" t="n">
        <v>130000</v>
      </c>
      <c r="E29" s="23" t="n">
        <v>3</v>
      </c>
      <c r="F29" s="22" t="inlineStr">
        <is>
          <t>Yes</t>
        </is>
      </c>
      <c r="G29" s="22" t="n">
        <v>1.266</v>
      </c>
    </row>
    <row r="30">
      <c r="A30" s="17" t="inlineStr">
        <is>
          <t>ESP</t>
        </is>
      </c>
      <c r="B30" s="17" t="inlineStr">
        <is>
          <t>high</t>
        </is>
      </c>
      <c r="C30" s="19" t="n">
        <v>172270.39</v>
      </c>
      <c r="D30" s="19" t="n">
        <v>130000</v>
      </c>
      <c r="E30" s="18" t="n">
        <v>3</v>
      </c>
      <c r="F30" s="17" t="inlineStr">
        <is>
          <t>Yes</t>
        </is>
      </c>
      <c r="G30" s="17" t="n">
        <v>0.755</v>
      </c>
    </row>
    <row r="31">
      <c r="A31" s="22" t="inlineStr">
        <is>
          <t>ESP</t>
        </is>
      </c>
      <c r="B31" s="22" t="inlineStr">
        <is>
          <t>stress</t>
        </is>
      </c>
      <c r="C31" s="24" t="n">
        <v>70006.66</v>
      </c>
      <c r="D31" s="24" t="n">
        <v>130000</v>
      </c>
      <c r="E31" s="23" t="n">
        <v>3</v>
      </c>
      <c r="F31" s="22" t="inlineStr">
        <is>
          <t>Yes</t>
        </is>
      </c>
      <c r="G31" s="22" t="n">
        <v>1.857</v>
      </c>
    </row>
    <row r="32">
      <c r="A32" s="17" t="inlineStr">
        <is>
          <t>DEU+FRA</t>
        </is>
      </c>
      <c r="B32" s="17" t="inlineStr">
        <is>
          <t>low</t>
        </is>
      </c>
      <c r="C32" s="19" t="n">
        <v>-53481.55</v>
      </c>
      <c r="D32" s="19" t="n">
        <v>490000</v>
      </c>
      <c r="E32" s="18" t="n">
        <v>9</v>
      </c>
      <c r="F32" s="17" t="inlineStr">
        <is>
          <t>No</t>
        </is>
      </c>
      <c r="G32" s="17" t="n"/>
    </row>
    <row r="33">
      <c r="A33" s="22" t="inlineStr">
        <is>
          <t>DEU+FRA</t>
        </is>
      </c>
      <c r="B33" s="22" t="inlineStr">
        <is>
          <t>base</t>
        </is>
      </c>
      <c r="C33" s="24" t="n">
        <v>37221.42</v>
      </c>
      <c r="D33" s="24" t="n">
        <v>490000</v>
      </c>
      <c r="E33" s="23" t="n">
        <v>9</v>
      </c>
      <c r="F33" s="22" t="inlineStr">
        <is>
          <t>No</t>
        </is>
      </c>
      <c r="G33" s="22" t="n">
        <v>13.164</v>
      </c>
    </row>
    <row r="34">
      <c r="A34" s="17" t="inlineStr">
        <is>
          <t>DEU+FRA</t>
        </is>
      </c>
      <c r="B34" s="17" t="inlineStr">
        <is>
          <t>high</t>
        </is>
      </c>
      <c r="C34" s="19" t="n">
        <v>127924.38</v>
      </c>
      <c r="D34" s="19" t="n">
        <v>490000</v>
      </c>
      <c r="E34" s="18" t="n">
        <v>9</v>
      </c>
      <c r="F34" s="17" t="inlineStr">
        <is>
          <t>No</t>
        </is>
      </c>
      <c r="G34" s="17" t="n">
        <v>3.83</v>
      </c>
    </row>
    <row r="35">
      <c r="A35" s="22" t="inlineStr">
        <is>
          <t>DEU+FRA</t>
        </is>
      </c>
      <c r="B35" s="22" t="inlineStr">
        <is>
          <t>stress</t>
        </is>
      </c>
      <c r="C35" s="24" t="n">
        <v>-10485.14</v>
      </c>
      <c r="D35" s="24" t="n">
        <v>490000</v>
      </c>
      <c r="E35" s="23" t="n">
        <v>9</v>
      </c>
      <c r="F35" s="22" t="inlineStr">
        <is>
          <t>No</t>
        </is>
      </c>
      <c r="G35" s="22" t="n"/>
    </row>
    <row r="36">
      <c r="A36" s="17" t="inlineStr">
        <is>
          <t>DEU+NLD</t>
        </is>
      </c>
      <c r="B36" s="17" t="inlineStr">
        <is>
          <t>low</t>
        </is>
      </c>
      <c r="C36" s="19" t="n">
        <v>-23173.92</v>
      </c>
      <c r="D36" s="19" t="n">
        <v>420000</v>
      </c>
      <c r="E36" s="18" t="n">
        <v>8</v>
      </c>
      <c r="F36" s="17" t="inlineStr">
        <is>
          <t>No</t>
        </is>
      </c>
      <c r="G36" s="17" t="n"/>
    </row>
    <row r="37">
      <c r="A37" s="22" t="inlineStr">
        <is>
          <t>DEU+NLD</t>
        </is>
      </c>
      <c r="B37" s="22" t="inlineStr">
        <is>
          <t>base</t>
        </is>
      </c>
      <c r="C37" s="24" t="n">
        <v>74303.7</v>
      </c>
      <c r="D37" s="24" t="n">
        <v>420000</v>
      </c>
      <c r="E37" s="23" t="n">
        <v>8</v>
      </c>
      <c r="F37" s="22" t="inlineStr">
        <is>
          <t>No</t>
        </is>
      </c>
      <c r="G37" s="22" t="n">
        <v>5.652</v>
      </c>
    </row>
    <row r="38">
      <c r="A38" s="17" t="inlineStr">
        <is>
          <t>DEU+NLD</t>
        </is>
      </c>
      <c r="B38" s="17" t="inlineStr">
        <is>
          <t>high</t>
        </is>
      </c>
      <c r="C38" s="19" t="n">
        <v>171781.31</v>
      </c>
      <c r="D38" s="19" t="n">
        <v>420000</v>
      </c>
      <c r="E38" s="18" t="n">
        <v>8</v>
      </c>
      <c r="F38" s="17" t="inlineStr">
        <is>
          <t>No</t>
        </is>
      </c>
      <c r="G38" s="17" t="n">
        <v>2.445</v>
      </c>
    </row>
    <row r="39">
      <c r="A39" s="22" t="inlineStr">
        <is>
          <t>DEU+NLD</t>
        </is>
      </c>
      <c r="B39" s="22" t="inlineStr">
        <is>
          <t>stress</t>
        </is>
      </c>
      <c r="C39" s="24" t="n">
        <v>24040.43</v>
      </c>
      <c r="D39" s="24" t="n">
        <v>420000</v>
      </c>
      <c r="E39" s="23" t="n">
        <v>8</v>
      </c>
      <c r="F39" s="22" t="inlineStr">
        <is>
          <t>No</t>
        </is>
      </c>
      <c r="G39" s="22" t="n">
        <v>17.471</v>
      </c>
    </row>
    <row r="40">
      <c r="A40" s="17" t="inlineStr">
        <is>
          <t>DEU+POL</t>
        </is>
      </c>
      <c r="B40" s="17" t="inlineStr">
        <is>
          <t>low</t>
        </is>
      </c>
      <c r="C40" s="19" t="n">
        <v>-8606.15</v>
      </c>
      <c r="D40" s="19" t="n">
        <v>390000</v>
      </c>
      <c r="E40" s="18" t="n">
        <v>8</v>
      </c>
      <c r="F40" s="17" t="inlineStr">
        <is>
          <t>No</t>
        </is>
      </c>
      <c r="G40" s="17" t="n"/>
    </row>
    <row r="41">
      <c r="A41" s="22" t="inlineStr">
        <is>
          <t>DEU+POL</t>
        </is>
      </c>
      <c r="B41" s="22" t="inlineStr">
        <is>
          <t>base</t>
        </is>
      </c>
      <c r="C41" s="24" t="n">
        <v>93701.11</v>
      </c>
      <c r="D41" s="24" t="n">
        <v>390000</v>
      </c>
      <c r="E41" s="23" t="n">
        <v>8</v>
      </c>
      <c r="F41" s="22" t="inlineStr">
        <is>
          <t>No</t>
        </is>
      </c>
      <c r="G41" s="22" t="n">
        <v>4.162</v>
      </c>
    </row>
    <row r="42">
      <c r="A42" s="17" t="inlineStr">
        <is>
          <t>DEU+POL</t>
        </is>
      </c>
      <c r="B42" s="17" t="inlineStr">
        <is>
          <t>high</t>
        </is>
      </c>
      <c r="C42" s="19" t="n">
        <v>196008.37</v>
      </c>
      <c r="D42" s="19" t="n">
        <v>390000</v>
      </c>
      <c r="E42" s="18" t="n">
        <v>8</v>
      </c>
      <c r="F42" s="17" t="inlineStr">
        <is>
          <t>No</t>
        </is>
      </c>
      <c r="G42" s="17" t="n">
        <v>1.99</v>
      </c>
    </row>
    <row r="43">
      <c r="A43" s="22" t="inlineStr">
        <is>
          <t>DEU+POL</t>
        </is>
      </c>
      <c r="B43" s="22" t="inlineStr">
        <is>
          <t>stress</t>
        </is>
      </c>
      <c r="C43" s="24" t="n">
        <v>-54325.85</v>
      </c>
      <c r="D43" s="24" t="n">
        <v>390000</v>
      </c>
      <c r="E43" s="23" t="n">
        <v>8</v>
      </c>
      <c r="F43" s="22" t="inlineStr">
        <is>
          <t>No</t>
        </is>
      </c>
      <c r="G43" s="22" t="n"/>
    </row>
    <row r="44">
      <c r="A44" s="17" t="inlineStr">
        <is>
          <t>DEU+CZE</t>
        </is>
      </c>
      <c r="B44" s="17" t="inlineStr">
        <is>
          <t>low</t>
        </is>
      </c>
      <c r="C44" s="19" t="n">
        <v>-2549.1</v>
      </c>
      <c r="D44" s="19" t="n">
        <v>375000</v>
      </c>
      <c r="E44" s="18" t="n">
        <v>7</v>
      </c>
      <c r="F44" s="17" t="inlineStr">
        <is>
          <t>Yes</t>
        </is>
      </c>
      <c r="G44" s="17" t="n"/>
    </row>
    <row r="45">
      <c r="A45" s="22" t="inlineStr">
        <is>
          <t>DEU+CZE</t>
        </is>
      </c>
      <c r="B45" s="22" t="inlineStr">
        <is>
          <t>base</t>
        </is>
      </c>
      <c r="C45" s="24" t="n">
        <v>105471.58</v>
      </c>
      <c r="D45" s="24" t="n">
        <v>375000</v>
      </c>
      <c r="E45" s="23" t="n">
        <v>7</v>
      </c>
      <c r="F45" s="22" t="inlineStr">
        <is>
          <t>Yes</t>
        </is>
      </c>
      <c r="G45" s="22" t="n">
        <v>3.555</v>
      </c>
    </row>
    <row r="46">
      <c r="A46" s="17" t="inlineStr">
        <is>
          <t>DEU+CZE</t>
        </is>
      </c>
      <c r="B46" s="17" t="inlineStr">
        <is>
          <t>high</t>
        </is>
      </c>
      <c r="C46" s="19" t="n">
        <v>213492.26</v>
      </c>
      <c r="D46" s="19" t="n">
        <v>375000</v>
      </c>
      <c r="E46" s="18" t="n">
        <v>7</v>
      </c>
      <c r="F46" s="17" t="inlineStr">
        <is>
          <t>Yes</t>
        </is>
      </c>
      <c r="G46" s="17" t="n">
        <v>1.757</v>
      </c>
    </row>
    <row r="47">
      <c r="A47" s="22" t="inlineStr">
        <is>
          <t>DEU+CZE</t>
        </is>
      </c>
      <c r="B47" s="22" t="inlineStr">
        <is>
          <t>stress</t>
        </is>
      </c>
      <c r="C47" s="24" t="n">
        <v>-51409.99</v>
      </c>
      <c r="D47" s="24" t="n">
        <v>375000</v>
      </c>
      <c r="E47" s="23" t="n">
        <v>7</v>
      </c>
      <c r="F47" s="22" t="inlineStr">
        <is>
          <t>Yes</t>
        </is>
      </c>
      <c r="G47" s="22" t="n"/>
    </row>
    <row r="48">
      <c r="A48" s="17" t="inlineStr">
        <is>
          <t>DEU+ESP</t>
        </is>
      </c>
      <c r="B48" s="17" t="inlineStr">
        <is>
          <t>low</t>
        </is>
      </c>
      <c r="C48" s="19" t="n">
        <v>-843.51</v>
      </c>
      <c r="D48" s="19" t="n">
        <v>410000</v>
      </c>
      <c r="E48" s="18" t="n">
        <v>8</v>
      </c>
      <c r="F48" s="17" t="inlineStr">
        <is>
          <t>No</t>
        </is>
      </c>
      <c r="G48" s="17" t="n"/>
    </row>
    <row r="49">
      <c r="A49" s="22" t="inlineStr">
        <is>
          <t>DEU+ESP</t>
        </is>
      </c>
      <c r="B49" s="22" t="inlineStr">
        <is>
          <t>base</t>
        </is>
      </c>
      <c r="C49" s="24" t="n">
        <v>112805.01</v>
      </c>
      <c r="D49" s="24" t="n">
        <v>410000</v>
      </c>
      <c r="E49" s="23" t="n">
        <v>8</v>
      </c>
      <c r="F49" s="22" t="inlineStr">
        <is>
          <t>No</t>
        </is>
      </c>
      <c r="G49" s="22" t="n">
        <v>3.635</v>
      </c>
    </row>
    <row r="50">
      <c r="A50" s="17" t="inlineStr">
        <is>
          <t>DEU+ESP</t>
        </is>
      </c>
      <c r="B50" s="17" t="inlineStr">
        <is>
          <t>high</t>
        </is>
      </c>
      <c r="C50" s="19" t="n">
        <v>226453.53</v>
      </c>
      <c r="D50" s="19" t="n">
        <v>410000</v>
      </c>
      <c r="E50" s="18" t="n">
        <v>8</v>
      </c>
      <c r="F50" s="17" t="inlineStr">
        <is>
          <t>No</t>
        </is>
      </c>
      <c r="G50" s="17" t="n">
        <v>1.811</v>
      </c>
    </row>
    <row r="51">
      <c r="A51" s="22" t="inlineStr">
        <is>
          <t>DEU+ESP</t>
        </is>
      </c>
      <c r="B51" s="22" t="inlineStr">
        <is>
          <t>stress</t>
        </is>
      </c>
      <c r="C51" s="24" t="n">
        <v>56423.62</v>
      </c>
      <c r="D51" s="24" t="n">
        <v>410000</v>
      </c>
      <c r="E51" s="23" t="n">
        <v>8</v>
      </c>
      <c r="F51" s="22" t="inlineStr">
        <is>
          <t>No</t>
        </is>
      </c>
      <c r="G51" s="22" t="n">
        <v>7.266</v>
      </c>
    </row>
    <row r="52">
      <c r="A52" s="17" t="inlineStr">
        <is>
          <t>FRA+NLD</t>
        </is>
      </c>
      <c r="B52" s="17" t="inlineStr">
        <is>
          <t>low</t>
        </is>
      </c>
      <c r="C52" s="19" t="n">
        <v>-8643.75</v>
      </c>
      <c r="D52" s="19" t="n">
        <v>350000</v>
      </c>
      <c r="E52" s="18" t="n">
        <v>7</v>
      </c>
      <c r="F52" s="17" t="inlineStr">
        <is>
          <t>Yes</t>
        </is>
      </c>
      <c r="G52" s="17" t="n"/>
    </row>
    <row r="53">
      <c r="A53" s="22" t="inlineStr">
        <is>
          <t>FRA+NLD</t>
        </is>
      </c>
      <c r="B53" s="22" t="inlineStr">
        <is>
          <t>base</t>
        </is>
      </c>
      <c r="C53" s="24" t="n">
        <v>91347.84</v>
      </c>
      <c r="D53" s="24" t="n">
        <v>350000</v>
      </c>
      <c r="E53" s="23" t="n">
        <v>7</v>
      </c>
      <c r="F53" s="22" t="inlineStr">
        <is>
          <t>Yes</t>
        </is>
      </c>
      <c r="G53" s="22" t="n">
        <v>3.832</v>
      </c>
    </row>
    <row r="54">
      <c r="A54" s="17" t="inlineStr">
        <is>
          <t>FRA+NLD</t>
        </is>
      </c>
      <c r="B54" s="17" t="inlineStr">
        <is>
          <t>high</t>
        </is>
      </c>
      <c r="C54" s="19" t="n">
        <v>191339.41</v>
      </c>
      <c r="D54" s="19" t="n">
        <v>350000</v>
      </c>
      <c r="E54" s="18" t="n">
        <v>7</v>
      </c>
      <c r="F54" s="17" t="inlineStr">
        <is>
          <t>Yes</t>
        </is>
      </c>
      <c r="G54" s="17" t="n">
        <v>1.829</v>
      </c>
    </row>
    <row r="55">
      <c r="A55" s="22" t="inlineStr">
        <is>
          <t>FRA+NLD</t>
        </is>
      </c>
      <c r="B55" s="22" t="inlineStr">
        <is>
          <t>stress</t>
        </is>
      </c>
      <c r="C55" s="24" t="n">
        <v>40721.37</v>
      </c>
      <c r="D55" s="24" t="n">
        <v>350000</v>
      </c>
      <c r="E55" s="23" t="n">
        <v>7</v>
      </c>
      <c r="F55" s="22" t="inlineStr">
        <is>
          <t>Yes</t>
        </is>
      </c>
      <c r="G55" s="22" t="n">
        <v>8.595000000000001</v>
      </c>
    </row>
    <row r="56">
      <c r="A56" s="17" t="inlineStr">
        <is>
          <t>FRA+POL</t>
        </is>
      </c>
      <c r="B56" s="17" t="inlineStr">
        <is>
          <t>low</t>
        </is>
      </c>
      <c r="C56" s="19" t="n">
        <v>5924.02</v>
      </c>
      <c r="D56" s="19" t="n">
        <v>320000</v>
      </c>
      <c r="E56" s="18" t="n">
        <v>7</v>
      </c>
      <c r="F56" s="17" t="inlineStr">
        <is>
          <t>Yes</t>
        </is>
      </c>
      <c r="G56" s="17" t="n">
        <v>54.017</v>
      </c>
    </row>
    <row r="57">
      <c r="A57" s="22" t="inlineStr">
        <is>
          <t>FRA+POL</t>
        </is>
      </c>
      <c r="B57" s="22" t="inlineStr">
        <is>
          <t>base</t>
        </is>
      </c>
      <c r="C57" s="24" t="n">
        <v>110745.25</v>
      </c>
      <c r="D57" s="24" t="n">
        <v>320000</v>
      </c>
      <c r="E57" s="23" t="n">
        <v>7</v>
      </c>
      <c r="F57" s="22" t="inlineStr">
        <is>
          <t>Yes</t>
        </is>
      </c>
      <c r="G57" s="22" t="n">
        <v>2.89</v>
      </c>
    </row>
    <row r="58">
      <c r="A58" s="17" t="inlineStr">
        <is>
          <t>FRA+POL</t>
        </is>
      </c>
      <c r="B58" s="17" t="inlineStr">
        <is>
          <t>high</t>
        </is>
      </c>
      <c r="C58" s="19" t="n">
        <v>215566.47</v>
      </c>
      <c r="D58" s="19" t="n">
        <v>320000</v>
      </c>
      <c r="E58" s="18" t="n">
        <v>7</v>
      </c>
      <c r="F58" s="17" t="inlineStr">
        <is>
          <t>Yes</t>
        </is>
      </c>
      <c r="G58" s="17" t="n">
        <v>1.484</v>
      </c>
    </row>
    <row r="59">
      <c r="A59" s="22" t="inlineStr">
        <is>
          <t>FRA+POL</t>
        </is>
      </c>
      <c r="B59" s="22" t="inlineStr">
        <is>
          <t>stress</t>
        </is>
      </c>
      <c r="C59" s="24" t="n">
        <v>-37644.91</v>
      </c>
      <c r="D59" s="24" t="n">
        <v>320000</v>
      </c>
      <c r="E59" s="23" t="n">
        <v>7</v>
      </c>
      <c r="F59" s="22" t="inlineStr">
        <is>
          <t>Yes</t>
        </is>
      </c>
      <c r="G59" s="22" t="n"/>
    </row>
    <row r="60">
      <c r="A60" s="17" t="inlineStr">
        <is>
          <t>FRA+CZE</t>
        </is>
      </c>
      <c r="B60" s="17" t="inlineStr">
        <is>
          <t>low</t>
        </is>
      </c>
      <c r="C60" s="19" t="n">
        <v>11981.07</v>
      </c>
      <c r="D60" s="19" t="n">
        <v>305000</v>
      </c>
      <c r="E60" s="18" t="n">
        <v>6</v>
      </c>
      <c r="F60" s="17" t="inlineStr">
        <is>
          <t>Yes</t>
        </is>
      </c>
      <c r="G60" s="17" t="n">
        <v>25.457</v>
      </c>
    </row>
    <row r="61">
      <c r="A61" s="22" t="inlineStr">
        <is>
          <t>FRA+CZE</t>
        </is>
      </c>
      <c r="B61" s="22" t="inlineStr">
        <is>
          <t>base</t>
        </is>
      </c>
      <c r="C61" s="24" t="n">
        <v>122515.72</v>
      </c>
      <c r="D61" s="24" t="n">
        <v>305000</v>
      </c>
      <c r="E61" s="23" t="n">
        <v>6</v>
      </c>
      <c r="F61" s="22" t="inlineStr">
        <is>
          <t>Yes</t>
        </is>
      </c>
      <c r="G61" s="22" t="n">
        <v>2.489</v>
      </c>
    </row>
    <row r="62">
      <c r="A62" s="17" t="inlineStr">
        <is>
          <t>FRA+CZE</t>
        </is>
      </c>
      <c r="B62" s="17" t="inlineStr">
        <is>
          <t>high</t>
        </is>
      </c>
      <c r="C62" s="19" t="n">
        <v>233050.36</v>
      </c>
      <c r="D62" s="19" t="n">
        <v>305000</v>
      </c>
      <c r="E62" s="18" t="n">
        <v>6</v>
      </c>
      <c r="F62" s="17" t="inlineStr">
        <is>
          <t>Yes</t>
        </is>
      </c>
      <c r="G62" s="17" t="n">
        <v>1.309</v>
      </c>
    </row>
    <row r="63">
      <c r="A63" s="22" t="inlineStr">
        <is>
          <t>FRA+CZE</t>
        </is>
      </c>
      <c r="B63" s="22" t="inlineStr">
        <is>
          <t>stress</t>
        </is>
      </c>
      <c r="C63" s="24" t="n">
        <v>-34729.05</v>
      </c>
      <c r="D63" s="24" t="n">
        <v>305000</v>
      </c>
      <c r="E63" s="23" t="n">
        <v>6</v>
      </c>
      <c r="F63" s="22" t="inlineStr">
        <is>
          <t>Yes</t>
        </is>
      </c>
      <c r="G63" s="22" t="n"/>
    </row>
    <row r="64">
      <c r="A64" s="17" t="inlineStr">
        <is>
          <t>FRA+ESP</t>
        </is>
      </c>
      <c r="B64" s="17" t="inlineStr">
        <is>
          <t>low</t>
        </is>
      </c>
      <c r="C64" s="19" t="n">
        <v>13686.66</v>
      </c>
      <c r="D64" s="19" t="n">
        <v>340000</v>
      </c>
      <c r="E64" s="18" t="n">
        <v>7</v>
      </c>
      <c r="F64" s="17" t="inlineStr">
        <is>
          <t>Yes</t>
        </is>
      </c>
      <c r="G64" s="17" t="n">
        <v>24.842</v>
      </c>
    </row>
    <row r="65">
      <c r="A65" s="22" t="inlineStr">
        <is>
          <t>FRA+ESP</t>
        </is>
      </c>
      <c r="B65" s="22" t="inlineStr">
        <is>
          <t>base</t>
        </is>
      </c>
      <c r="C65" s="24" t="n">
        <v>129849.15</v>
      </c>
      <c r="D65" s="24" t="n">
        <v>340000</v>
      </c>
      <c r="E65" s="23" t="n">
        <v>7</v>
      </c>
      <c r="F65" s="22" t="inlineStr">
        <is>
          <t>Yes</t>
        </is>
      </c>
      <c r="G65" s="22" t="n">
        <v>2.618</v>
      </c>
    </row>
    <row r="66">
      <c r="A66" s="17" t="inlineStr">
        <is>
          <t>FRA+ESP</t>
        </is>
      </c>
      <c r="B66" s="17" t="inlineStr">
        <is>
          <t>high</t>
        </is>
      </c>
      <c r="C66" s="19" t="n">
        <v>246011.63</v>
      </c>
      <c r="D66" s="19" t="n">
        <v>340000</v>
      </c>
      <c r="E66" s="18" t="n">
        <v>7</v>
      </c>
      <c r="F66" s="17" t="inlineStr">
        <is>
          <t>Yes</t>
        </is>
      </c>
      <c r="G66" s="17" t="n">
        <v>1.382</v>
      </c>
    </row>
    <row r="67">
      <c r="A67" s="22" t="inlineStr">
        <is>
          <t>FRA+ESP</t>
        </is>
      </c>
      <c r="B67" s="22" t="inlineStr">
        <is>
          <t>stress</t>
        </is>
      </c>
      <c r="C67" s="24" t="n">
        <v>73104.56</v>
      </c>
      <c r="D67" s="24" t="n">
        <v>340000</v>
      </c>
      <c r="E67" s="23" t="n">
        <v>7</v>
      </c>
      <c r="F67" s="22" t="inlineStr">
        <is>
          <t>Yes</t>
        </is>
      </c>
      <c r="G67" s="22" t="n">
        <v>4.651</v>
      </c>
    </row>
    <row r="68">
      <c r="A68" s="17" t="inlineStr">
        <is>
          <t>NLD+POL</t>
        </is>
      </c>
      <c r="B68" s="17" t="inlineStr">
        <is>
          <t>low</t>
        </is>
      </c>
      <c r="C68" s="19" t="n">
        <v>36231.65</v>
      </c>
      <c r="D68" s="19" t="n">
        <v>250000</v>
      </c>
      <c r="E68" s="18" t="n">
        <v>6</v>
      </c>
      <c r="F68" s="17" t="inlineStr">
        <is>
          <t>Yes</t>
        </is>
      </c>
      <c r="G68" s="17" t="n">
        <v>6.9</v>
      </c>
    </row>
    <row r="69">
      <c r="A69" s="22" t="inlineStr">
        <is>
          <t>NLD+POL</t>
        </is>
      </c>
      <c r="B69" s="22" t="inlineStr">
        <is>
          <t>base</t>
        </is>
      </c>
      <c r="C69" s="24" t="n">
        <v>147827.53</v>
      </c>
      <c r="D69" s="24" t="n">
        <v>250000</v>
      </c>
      <c r="E69" s="23" t="n">
        <v>6</v>
      </c>
      <c r="F69" s="22" t="inlineStr">
        <is>
          <t>Yes</t>
        </is>
      </c>
      <c r="G69" s="22" t="n">
        <v>1.691</v>
      </c>
    </row>
    <row r="70">
      <c r="A70" s="17" t="inlineStr">
        <is>
          <t>NLD+POL</t>
        </is>
      </c>
      <c r="B70" s="17" t="inlineStr">
        <is>
          <t>high</t>
        </is>
      </c>
      <c r="C70" s="19" t="n">
        <v>259423.4</v>
      </c>
      <c r="D70" s="19" t="n">
        <v>250000</v>
      </c>
      <c r="E70" s="18" t="n">
        <v>6</v>
      </c>
      <c r="F70" s="17" t="inlineStr">
        <is>
          <t>Yes</t>
        </is>
      </c>
      <c r="G70" s="17" t="n">
        <v>0.964</v>
      </c>
    </row>
    <row r="71">
      <c r="A71" s="22" t="inlineStr">
        <is>
          <t>NLD+POL</t>
        </is>
      </c>
      <c r="B71" s="22" t="inlineStr">
        <is>
          <t>stress</t>
        </is>
      </c>
      <c r="C71" s="24" t="n">
        <v>-3119.34</v>
      </c>
      <c r="D71" s="24" t="n">
        <v>250000</v>
      </c>
      <c r="E71" s="23" t="n">
        <v>6</v>
      </c>
      <c r="F71" s="22" t="inlineStr">
        <is>
          <t>Yes</t>
        </is>
      </c>
      <c r="G71" s="22" t="n"/>
    </row>
    <row r="72">
      <c r="A72" s="17" t="inlineStr">
        <is>
          <t>NLD+CZE</t>
        </is>
      </c>
      <c r="B72" s="17" t="inlineStr">
        <is>
          <t>low</t>
        </is>
      </c>
      <c r="C72" s="19" t="n">
        <v>42288.7</v>
      </c>
      <c r="D72" s="19" t="n">
        <v>235000</v>
      </c>
      <c r="E72" s="18" t="n">
        <v>5</v>
      </c>
      <c r="F72" s="17" t="inlineStr">
        <is>
          <t>Yes</t>
        </is>
      </c>
      <c r="G72" s="17" t="n">
        <v>5.557</v>
      </c>
    </row>
    <row r="73">
      <c r="A73" s="22" t="inlineStr">
        <is>
          <t>NLD+CZE</t>
        </is>
      </c>
      <c r="B73" s="22" t="inlineStr">
        <is>
          <t>base</t>
        </is>
      </c>
      <c r="C73" s="24" t="n">
        <v>159598</v>
      </c>
      <c r="D73" s="24" t="n">
        <v>235000</v>
      </c>
      <c r="E73" s="23" t="n">
        <v>5</v>
      </c>
      <c r="F73" s="22" t="inlineStr">
        <is>
          <t>Yes</t>
        </is>
      </c>
      <c r="G73" s="22" t="n">
        <v>1.472</v>
      </c>
    </row>
    <row r="74">
      <c r="A74" s="17" t="inlineStr">
        <is>
          <t>NLD+CZE</t>
        </is>
      </c>
      <c r="B74" s="17" t="inlineStr">
        <is>
          <t>high</t>
        </is>
      </c>
      <c r="C74" s="19" t="n">
        <v>276907.29</v>
      </c>
      <c r="D74" s="19" t="n">
        <v>235000</v>
      </c>
      <c r="E74" s="18" t="n">
        <v>5</v>
      </c>
      <c r="F74" s="17" t="inlineStr">
        <is>
          <t>Yes</t>
        </is>
      </c>
      <c r="G74" s="17" t="n">
        <v>0.849</v>
      </c>
    </row>
    <row r="75">
      <c r="A75" s="22" t="inlineStr">
        <is>
          <t>NLD+CZE</t>
        </is>
      </c>
      <c r="B75" s="22" t="inlineStr">
        <is>
          <t>stress</t>
        </is>
      </c>
      <c r="C75" s="24" t="n">
        <v>-203.48</v>
      </c>
      <c r="D75" s="24" t="n">
        <v>235000</v>
      </c>
      <c r="E75" s="23" t="n">
        <v>5</v>
      </c>
      <c r="F75" s="22" t="inlineStr">
        <is>
          <t>Yes</t>
        </is>
      </c>
      <c r="G75" s="22" t="n"/>
    </row>
    <row r="76">
      <c r="A76" s="17" t="inlineStr">
        <is>
          <t>NLD+ESP</t>
        </is>
      </c>
      <c r="B76" s="17" t="inlineStr">
        <is>
          <t>low</t>
        </is>
      </c>
      <c r="C76" s="19" t="n">
        <v>43994.29</v>
      </c>
      <c r="D76" s="19" t="n">
        <v>270000</v>
      </c>
      <c r="E76" s="18" t="n">
        <v>6</v>
      </c>
      <c r="F76" s="17" t="inlineStr">
        <is>
          <t>Yes</t>
        </is>
      </c>
      <c r="G76" s="17" t="n">
        <v>6.137</v>
      </c>
    </row>
    <row r="77">
      <c r="A77" s="22" t="inlineStr">
        <is>
          <t>NLD+ESP</t>
        </is>
      </c>
      <c r="B77" s="22" t="inlineStr">
        <is>
          <t>base</t>
        </is>
      </c>
      <c r="C77" s="24" t="n">
        <v>166931.43</v>
      </c>
      <c r="D77" s="24" t="n">
        <v>270000</v>
      </c>
      <c r="E77" s="23" t="n">
        <v>6</v>
      </c>
      <c r="F77" s="22" t="inlineStr">
        <is>
          <t>Yes</t>
        </is>
      </c>
      <c r="G77" s="22" t="n">
        <v>1.617</v>
      </c>
    </row>
    <row r="78">
      <c r="A78" s="17" t="inlineStr">
        <is>
          <t>NLD+ESP</t>
        </is>
      </c>
      <c r="B78" s="17" t="inlineStr">
        <is>
          <t>high</t>
        </is>
      </c>
      <c r="C78" s="19" t="n">
        <v>289868.56</v>
      </c>
      <c r="D78" s="19" t="n">
        <v>270000</v>
      </c>
      <c r="E78" s="18" t="n">
        <v>6</v>
      </c>
      <c r="F78" s="17" t="inlineStr">
        <is>
          <t>Yes</t>
        </is>
      </c>
      <c r="G78" s="17" t="n">
        <v>0.931</v>
      </c>
    </row>
    <row r="79">
      <c r="A79" s="22" t="inlineStr">
        <is>
          <t>NLD+ESP</t>
        </is>
      </c>
      <c r="B79" s="22" t="inlineStr">
        <is>
          <t>stress</t>
        </is>
      </c>
      <c r="C79" s="24" t="n">
        <v>107630.13</v>
      </c>
      <c r="D79" s="24" t="n">
        <v>270000</v>
      </c>
      <c r="E79" s="23" t="n">
        <v>6</v>
      </c>
      <c r="F79" s="22" t="inlineStr">
        <is>
          <t>Yes</t>
        </is>
      </c>
      <c r="G79" s="22" t="n">
        <v>2.509</v>
      </c>
    </row>
    <row r="80">
      <c r="A80" s="17" t="inlineStr">
        <is>
          <t>POL+CZE</t>
        </is>
      </c>
      <c r="B80" s="17" t="inlineStr">
        <is>
          <t>low</t>
        </is>
      </c>
      <c r="C80" s="19" t="n">
        <v>56856.47</v>
      </c>
      <c r="D80" s="19" t="n">
        <v>205000</v>
      </c>
      <c r="E80" s="18" t="n">
        <v>5</v>
      </c>
      <c r="F80" s="17" t="inlineStr">
        <is>
          <t>Yes</t>
        </is>
      </c>
      <c r="G80" s="17" t="n">
        <v>3.606</v>
      </c>
    </row>
    <row r="81">
      <c r="A81" s="22" t="inlineStr">
        <is>
          <t>POL+CZE</t>
        </is>
      </c>
      <c r="B81" s="22" t="inlineStr">
        <is>
          <t>base</t>
        </is>
      </c>
      <c r="C81" s="24" t="n">
        <v>178995.41</v>
      </c>
      <c r="D81" s="24" t="n">
        <v>205000</v>
      </c>
      <c r="E81" s="23" t="n">
        <v>5</v>
      </c>
      <c r="F81" s="22" t="inlineStr">
        <is>
          <t>Yes</t>
        </is>
      </c>
      <c r="G81" s="22" t="n">
        <v>1.145</v>
      </c>
    </row>
    <row r="82">
      <c r="A82" s="17" t="inlineStr">
        <is>
          <t>POL+CZE</t>
        </is>
      </c>
      <c r="B82" s="17" t="inlineStr">
        <is>
          <t>high</t>
        </is>
      </c>
      <c r="C82" s="19" t="n">
        <v>301134.35</v>
      </c>
      <c r="D82" s="19" t="n">
        <v>205000</v>
      </c>
      <c r="E82" s="18" t="n">
        <v>5</v>
      </c>
      <c r="F82" s="17" t="inlineStr">
        <is>
          <t>Yes</t>
        </is>
      </c>
      <c r="G82" s="17" t="n">
        <v>0.681</v>
      </c>
    </row>
    <row r="83">
      <c r="A83" s="22" t="inlineStr">
        <is>
          <t>POL+CZE</t>
        </is>
      </c>
      <c r="B83" s="22" t="inlineStr">
        <is>
          <t>stress</t>
        </is>
      </c>
      <c r="C83" s="24" t="n">
        <v>-78569.75999999999</v>
      </c>
      <c r="D83" s="24" t="n">
        <v>205000</v>
      </c>
      <c r="E83" s="23" t="n">
        <v>5</v>
      </c>
      <c r="F83" s="22" t="inlineStr">
        <is>
          <t>Yes</t>
        </is>
      </c>
      <c r="G83" s="22" t="n"/>
    </row>
    <row r="84">
      <c r="A84" s="17" t="inlineStr">
        <is>
          <t>POL+ESP</t>
        </is>
      </c>
      <c r="B84" s="17" t="inlineStr">
        <is>
          <t>low</t>
        </is>
      </c>
      <c r="C84" s="19" t="n">
        <v>58562.06</v>
      </c>
      <c r="D84" s="19" t="n">
        <v>240000</v>
      </c>
      <c r="E84" s="18" t="n">
        <v>6</v>
      </c>
      <c r="F84" s="17" t="inlineStr">
        <is>
          <t>Yes</t>
        </is>
      </c>
      <c r="G84" s="17" t="n">
        <v>4.098</v>
      </c>
    </row>
    <row r="85">
      <c r="A85" s="22" t="inlineStr">
        <is>
          <t>POL+ESP</t>
        </is>
      </c>
      <c r="B85" s="22" t="inlineStr">
        <is>
          <t>base</t>
        </is>
      </c>
      <c r="C85" s="24" t="n">
        <v>186328.84</v>
      </c>
      <c r="D85" s="24" t="n">
        <v>240000</v>
      </c>
      <c r="E85" s="23" t="n">
        <v>6</v>
      </c>
      <c r="F85" s="22" t="inlineStr">
        <is>
          <t>Yes</t>
        </is>
      </c>
      <c r="G85" s="22" t="n">
        <v>1.288</v>
      </c>
    </row>
    <row r="86">
      <c r="A86" s="17" t="inlineStr">
        <is>
          <t>POL+ESP</t>
        </is>
      </c>
      <c r="B86" s="17" t="inlineStr">
        <is>
          <t>high</t>
        </is>
      </c>
      <c r="C86" s="19" t="n">
        <v>314095.62</v>
      </c>
      <c r="D86" s="19" t="n">
        <v>240000</v>
      </c>
      <c r="E86" s="18" t="n">
        <v>6</v>
      </c>
      <c r="F86" s="17" t="inlineStr">
        <is>
          <t>Yes</t>
        </is>
      </c>
      <c r="G86" s="17" t="n">
        <v>0.764</v>
      </c>
    </row>
    <row r="87">
      <c r="A87" s="22" t="inlineStr">
        <is>
          <t>POL+ESP</t>
        </is>
      </c>
      <c r="B87" s="22" t="inlineStr">
        <is>
          <t>stress</t>
        </is>
      </c>
      <c r="C87" s="24" t="n">
        <v>29263.85</v>
      </c>
      <c r="D87" s="24" t="n">
        <v>240000</v>
      </c>
      <c r="E87" s="23" t="n">
        <v>6</v>
      </c>
      <c r="F87" s="22" t="inlineStr">
        <is>
          <t>Yes</t>
        </is>
      </c>
      <c r="G87" s="22" t="n">
        <v>8.201000000000001</v>
      </c>
    </row>
    <row r="88">
      <c r="A88" s="17" t="inlineStr">
        <is>
          <t>CZE+ESP</t>
        </is>
      </c>
      <c r="B88" s="17" t="inlineStr">
        <is>
          <t>low</t>
        </is>
      </c>
      <c r="C88" s="19" t="n">
        <v>64619.11</v>
      </c>
      <c r="D88" s="19" t="n">
        <v>225000</v>
      </c>
      <c r="E88" s="18" t="n">
        <v>5</v>
      </c>
      <c r="F88" s="17" t="inlineStr">
        <is>
          <t>Yes</t>
        </is>
      </c>
      <c r="G88" s="17" t="n">
        <v>3.482</v>
      </c>
    </row>
    <row r="89">
      <c r="A89" s="22" t="inlineStr">
        <is>
          <t>CZE+ESP</t>
        </is>
      </c>
      <c r="B89" s="22" t="inlineStr">
        <is>
          <t>base</t>
        </is>
      </c>
      <c r="C89" s="24" t="n">
        <v>198099.31</v>
      </c>
      <c r="D89" s="24" t="n">
        <v>225000</v>
      </c>
      <c r="E89" s="23" t="n">
        <v>5</v>
      </c>
      <c r="F89" s="22" t="inlineStr">
        <is>
          <t>Yes</t>
        </is>
      </c>
      <c r="G89" s="22" t="n">
        <v>1.136</v>
      </c>
    </row>
    <row r="90">
      <c r="A90" s="17" t="inlineStr">
        <is>
          <t>CZE+ESP</t>
        </is>
      </c>
      <c r="B90" s="17" t="inlineStr">
        <is>
          <t>high</t>
        </is>
      </c>
      <c r="C90" s="19" t="n">
        <v>331579.51</v>
      </c>
      <c r="D90" s="19" t="n">
        <v>225000</v>
      </c>
      <c r="E90" s="18" t="n">
        <v>5</v>
      </c>
      <c r="F90" s="17" t="inlineStr">
        <is>
          <t>Yes</t>
        </is>
      </c>
      <c r="G90" s="17" t="n">
        <v>0.679</v>
      </c>
    </row>
    <row r="91">
      <c r="A91" s="22" t="inlineStr">
        <is>
          <t>CZE+ESP</t>
        </is>
      </c>
      <c r="B91" s="22" t="inlineStr">
        <is>
          <t>stress</t>
        </is>
      </c>
      <c r="C91" s="24" t="n">
        <v>32179.71</v>
      </c>
      <c r="D91" s="24" t="n">
        <v>225000</v>
      </c>
      <c r="E91" s="23" t="n">
        <v>5</v>
      </c>
      <c r="F91" s="22" t="inlineStr">
        <is>
          <t>Yes</t>
        </is>
      </c>
      <c r="G91" s="22" t="n">
        <v>6.992</v>
      </c>
    </row>
  </sheetData>
  <autoFilter ref="A3:G91"/>
  <mergeCells count="1">
    <mergeCell ref="A1:G1"/>
  </mergeCell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4" customWidth="1" min="4" max="4"/>
    <col width="12" customWidth="1" min="5" max="5"/>
    <col width="19" customWidth="1" min="6" max="6"/>
  </cols>
  <sheetData>
    <row r="1" ht="32" customHeight="1">
      <c r="A1" s="15" t="inlineStr">
        <is>
          <t>Options meeting all three board hard constraints</t>
        </is>
      </c>
    </row>
    <row r="3" ht="30" customHeight="1">
      <c r="A3" s="16" t="inlineStr">
        <is>
          <t>Option</t>
        </is>
      </c>
      <c r="B3" s="16" t="inlineStr">
        <is>
          <t>Scenario</t>
        </is>
      </c>
      <c r="C3" s="16" t="inlineStr">
        <is>
          <t>Incremental EUR/year</t>
        </is>
      </c>
      <c r="D3" s="16" t="inlineStr">
        <is>
          <t>Capex EUR year zero</t>
        </is>
      </c>
      <c r="E3" s="16" t="inlineStr">
        <is>
          <t>FTE</t>
        </is>
      </c>
      <c r="F3" s="16" t="inlineStr">
        <is>
          <t>Payback years</t>
        </is>
      </c>
    </row>
    <row r="4">
      <c r="A4" s="17" t="inlineStr">
        <is>
          <t>DEFER</t>
        </is>
      </c>
      <c r="B4" s="17" t="inlineStr">
        <is>
          <t>low</t>
        </is>
      </c>
      <c r="C4" s="19" t="n">
        <v>0</v>
      </c>
      <c r="D4" s="19" t="n">
        <v>0</v>
      </c>
      <c r="E4" s="18" t="n">
        <v>0</v>
      </c>
      <c r="F4" s="17" t="n"/>
    </row>
    <row r="5">
      <c r="A5" s="22" t="inlineStr">
        <is>
          <t>DEFER</t>
        </is>
      </c>
      <c r="B5" s="22" t="inlineStr">
        <is>
          <t>base</t>
        </is>
      </c>
      <c r="C5" s="24" t="n">
        <v>0</v>
      </c>
      <c r="D5" s="24" t="n">
        <v>0</v>
      </c>
      <c r="E5" s="23" t="n">
        <v>0</v>
      </c>
      <c r="F5" s="22" t="n"/>
    </row>
    <row r="6">
      <c r="A6" s="17" t="inlineStr">
        <is>
          <t>DEFER</t>
        </is>
      </c>
      <c r="B6" s="17" t="inlineStr">
        <is>
          <t>high</t>
        </is>
      </c>
      <c r="C6" s="19" t="n">
        <v>0</v>
      </c>
      <c r="D6" s="19" t="n">
        <v>0</v>
      </c>
      <c r="E6" s="18" t="n">
        <v>0</v>
      </c>
      <c r="F6" s="17" t="n"/>
    </row>
    <row r="7">
      <c r="A7" s="22" t="inlineStr">
        <is>
          <t>DEFER</t>
        </is>
      </c>
      <c r="B7" s="22" t="inlineStr">
        <is>
          <t>stress</t>
        </is>
      </c>
      <c r="C7" s="24" t="n">
        <v>0</v>
      </c>
      <c r="D7" s="24" t="n">
        <v>0</v>
      </c>
      <c r="E7" s="23" t="n">
        <v>0</v>
      </c>
      <c r="F7" s="22" t="n"/>
    </row>
    <row r="8">
      <c r="A8" s="17" t="inlineStr">
        <is>
          <t>DEU</t>
        </is>
      </c>
      <c r="B8" s="17" t="inlineStr">
        <is>
          <t>low</t>
        </is>
      </c>
      <c r="C8" s="19" t="n">
        <v>-34005.86</v>
      </c>
      <c r="D8" s="19" t="n">
        <v>280000</v>
      </c>
      <c r="E8" s="18" t="n">
        <v>5</v>
      </c>
      <c r="F8" s="17" t="n"/>
    </row>
    <row r="9">
      <c r="A9" s="22" t="inlineStr">
        <is>
          <t>DEU</t>
        </is>
      </c>
      <c r="B9" s="22" t="inlineStr">
        <is>
          <t>base</t>
        </is>
      </c>
      <c r="C9" s="24" t="n">
        <v>10088.64</v>
      </c>
      <c r="D9" s="24" t="n">
        <v>280000</v>
      </c>
      <c r="E9" s="23" t="n">
        <v>5</v>
      </c>
      <c r="F9" s="22" t="n">
        <v>27.754</v>
      </c>
    </row>
    <row r="10">
      <c r="A10" s="17" t="inlineStr">
        <is>
          <t>DEU</t>
        </is>
      </c>
      <c r="B10" s="17" t="inlineStr">
        <is>
          <t>high</t>
        </is>
      </c>
      <c r="C10" s="19" t="n">
        <v>54183.14</v>
      </c>
      <c r="D10" s="19" t="n">
        <v>280000</v>
      </c>
      <c r="E10" s="18" t="n">
        <v>5</v>
      </c>
      <c r="F10" s="17" t="n">
        <v>5.168</v>
      </c>
    </row>
    <row r="11">
      <c r="A11" s="22" t="inlineStr">
        <is>
          <t>DEU</t>
        </is>
      </c>
      <c r="B11" s="22" t="inlineStr">
        <is>
          <t>stress</t>
        </is>
      </c>
      <c r="C11" s="24" t="n">
        <v>-13583.04</v>
      </c>
      <c r="D11" s="24" t="n">
        <v>280000</v>
      </c>
      <c r="E11" s="23" t="n">
        <v>5</v>
      </c>
      <c r="F11" s="22" t="n"/>
    </row>
    <row r="12">
      <c r="A12" s="17" t="inlineStr">
        <is>
          <t>FRA</t>
        </is>
      </c>
      <c r="B12" s="17" t="inlineStr">
        <is>
          <t>low</t>
        </is>
      </c>
      <c r="C12" s="19" t="n">
        <v>-19475.69</v>
      </c>
      <c r="D12" s="19" t="n">
        <v>210000</v>
      </c>
      <c r="E12" s="18" t="n">
        <v>4</v>
      </c>
      <c r="F12" s="17" t="n"/>
    </row>
    <row r="13">
      <c r="A13" s="22" t="inlineStr">
        <is>
          <t>FRA</t>
        </is>
      </c>
      <c r="B13" s="22" t="inlineStr">
        <is>
          <t>base</t>
        </is>
      </c>
      <c r="C13" s="24" t="n">
        <v>27132.78</v>
      </c>
      <c r="D13" s="24" t="n">
        <v>210000</v>
      </c>
      <c r="E13" s="23" t="n">
        <v>4</v>
      </c>
      <c r="F13" s="22" t="n">
        <v>7.74</v>
      </c>
    </row>
    <row r="14">
      <c r="A14" s="17" t="inlineStr">
        <is>
          <t>FRA</t>
        </is>
      </c>
      <c r="B14" s="17" t="inlineStr">
        <is>
          <t>high</t>
        </is>
      </c>
      <c r="C14" s="19" t="n">
        <v>73741.24000000001</v>
      </c>
      <c r="D14" s="19" t="n">
        <v>210000</v>
      </c>
      <c r="E14" s="18" t="n">
        <v>4</v>
      </c>
      <c r="F14" s="17" t="n">
        <v>2.848</v>
      </c>
    </row>
    <row r="15">
      <c r="A15" s="22" t="inlineStr">
        <is>
          <t>FRA</t>
        </is>
      </c>
      <c r="B15" s="22" t="inlineStr">
        <is>
          <t>stress</t>
        </is>
      </c>
      <c r="C15" s="24" t="n">
        <v>3097.9</v>
      </c>
      <c r="D15" s="24" t="n">
        <v>210000</v>
      </c>
      <c r="E15" s="23" t="n">
        <v>4</v>
      </c>
      <c r="F15" s="22" t="n">
        <v>67.788</v>
      </c>
    </row>
    <row r="16">
      <c r="A16" s="17" t="inlineStr">
        <is>
          <t>NLD</t>
        </is>
      </c>
      <c r="B16" s="17" t="inlineStr">
        <is>
          <t>low</t>
        </is>
      </c>
      <c r="C16" s="19" t="n">
        <v>10831.94</v>
      </c>
      <c r="D16" s="19" t="n">
        <v>140000</v>
      </c>
      <c r="E16" s="18" t="n">
        <v>3</v>
      </c>
      <c r="F16" s="17" t="n">
        <v>12.925</v>
      </c>
    </row>
    <row r="17">
      <c r="A17" s="22" t="inlineStr">
        <is>
          <t>NLD</t>
        </is>
      </c>
      <c r="B17" s="22" t="inlineStr">
        <is>
          <t>base</t>
        </is>
      </c>
      <c r="C17" s="24" t="n">
        <v>64215.06</v>
      </c>
      <c r="D17" s="24" t="n">
        <v>140000</v>
      </c>
      <c r="E17" s="23" t="n">
        <v>3</v>
      </c>
      <c r="F17" s="22" t="n">
        <v>2.18</v>
      </c>
    </row>
    <row r="18">
      <c r="A18" s="17" t="inlineStr">
        <is>
          <t>NLD</t>
        </is>
      </c>
      <c r="B18" s="17" t="inlineStr">
        <is>
          <t>high</t>
        </is>
      </c>
      <c r="C18" s="19" t="n">
        <v>117598.17</v>
      </c>
      <c r="D18" s="19" t="n">
        <v>140000</v>
      </c>
      <c r="E18" s="18" t="n">
        <v>3</v>
      </c>
      <c r="F18" s="17" t="n">
        <v>1.19</v>
      </c>
    </row>
    <row r="19">
      <c r="A19" s="22" t="inlineStr">
        <is>
          <t>NLD</t>
        </is>
      </c>
      <c r="B19" s="22" t="inlineStr">
        <is>
          <t>stress</t>
        </is>
      </c>
      <c r="C19" s="24" t="n">
        <v>37623.47</v>
      </c>
      <c r="D19" s="24" t="n">
        <v>140000</v>
      </c>
      <c r="E19" s="23" t="n">
        <v>3</v>
      </c>
      <c r="F19" s="22" t="n">
        <v>3.721</v>
      </c>
    </row>
    <row r="20">
      <c r="A20" s="17" t="inlineStr">
        <is>
          <t>POL</t>
        </is>
      </c>
      <c r="B20" s="17" t="inlineStr">
        <is>
          <t>low</t>
        </is>
      </c>
      <c r="C20" s="19" t="n">
        <v>25399.71</v>
      </c>
      <c r="D20" s="19" t="n">
        <v>110000</v>
      </c>
      <c r="E20" s="18" t="n">
        <v>3</v>
      </c>
      <c r="F20" s="17" t="n">
        <v>4.331</v>
      </c>
    </row>
    <row r="21">
      <c r="A21" s="22" t="inlineStr">
        <is>
          <t>POL</t>
        </is>
      </c>
      <c r="B21" s="22" t="inlineStr">
        <is>
          <t>base</t>
        </is>
      </c>
      <c r="C21" s="24" t="n">
        <v>83612.47</v>
      </c>
      <c r="D21" s="24" t="n">
        <v>110000</v>
      </c>
      <c r="E21" s="23" t="n">
        <v>3</v>
      </c>
      <c r="F21" s="22" t="n">
        <v>1.316</v>
      </c>
    </row>
    <row r="22">
      <c r="A22" s="17" t="inlineStr">
        <is>
          <t>POL</t>
        </is>
      </c>
      <c r="B22" s="17" t="inlineStr">
        <is>
          <t>high</t>
        </is>
      </c>
      <c r="C22" s="19" t="n">
        <v>141825.23</v>
      </c>
      <c r="D22" s="19" t="n">
        <v>110000</v>
      </c>
      <c r="E22" s="18" t="n">
        <v>3</v>
      </c>
      <c r="F22" s="17" t="n">
        <v>0.776</v>
      </c>
    </row>
    <row r="23">
      <c r="A23" s="22" t="inlineStr">
        <is>
          <t>POL</t>
        </is>
      </c>
      <c r="B23" s="22" t="inlineStr">
        <is>
          <t>stress</t>
        </is>
      </c>
      <c r="C23" s="24" t="n">
        <v>-40742.81</v>
      </c>
      <c r="D23" s="24" t="n">
        <v>110000</v>
      </c>
      <c r="E23" s="23" t="n">
        <v>3</v>
      </c>
      <c r="F23" s="22" t="n"/>
    </row>
    <row r="24">
      <c r="A24" s="17" t="inlineStr">
        <is>
          <t>CZE</t>
        </is>
      </c>
      <c r="B24" s="17" t="inlineStr">
        <is>
          <t>low</t>
        </is>
      </c>
      <c r="C24" s="19" t="n">
        <v>31456.76</v>
      </c>
      <c r="D24" s="19" t="n">
        <v>95000</v>
      </c>
      <c r="E24" s="18" t="n">
        <v>2</v>
      </c>
      <c r="F24" s="17" t="n">
        <v>3.02</v>
      </c>
    </row>
    <row r="25">
      <c r="A25" s="22" t="inlineStr">
        <is>
          <t>CZE</t>
        </is>
      </c>
      <c r="B25" s="22" t="inlineStr">
        <is>
          <t>base</t>
        </is>
      </c>
      <c r="C25" s="24" t="n">
        <v>95382.94</v>
      </c>
      <c r="D25" s="24" t="n">
        <v>95000</v>
      </c>
      <c r="E25" s="23" t="n">
        <v>2</v>
      </c>
      <c r="F25" s="22" t="n">
        <v>0.996</v>
      </c>
    </row>
    <row r="26">
      <c r="A26" s="17" t="inlineStr">
        <is>
          <t>CZE</t>
        </is>
      </c>
      <c r="B26" s="17" t="inlineStr">
        <is>
          <t>high</t>
        </is>
      </c>
      <c r="C26" s="19" t="n">
        <v>159309.12</v>
      </c>
      <c r="D26" s="19" t="n">
        <v>95000</v>
      </c>
      <c r="E26" s="18" t="n">
        <v>2</v>
      </c>
      <c r="F26" s="17" t="n">
        <v>0.596</v>
      </c>
    </row>
    <row r="27">
      <c r="A27" s="22" t="inlineStr">
        <is>
          <t>CZE</t>
        </is>
      </c>
      <c r="B27" s="22" t="inlineStr">
        <is>
          <t>stress</t>
        </is>
      </c>
      <c r="C27" s="24" t="n">
        <v>-37826.95</v>
      </c>
      <c r="D27" s="24" t="n">
        <v>95000</v>
      </c>
      <c r="E27" s="23" t="n">
        <v>2</v>
      </c>
      <c r="F27" s="22" t="n"/>
    </row>
    <row r="28">
      <c r="A28" s="17" t="inlineStr">
        <is>
          <t>ESP</t>
        </is>
      </c>
      <c r="B28" s="17" t="inlineStr">
        <is>
          <t>low</t>
        </is>
      </c>
      <c r="C28" s="19" t="n">
        <v>33162.35</v>
      </c>
      <c r="D28" s="19" t="n">
        <v>130000</v>
      </c>
      <c r="E28" s="18" t="n">
        <v>3</v>
      </c>
      <c r="F28" s="17" t="n">
        <v>3.92</v>
      </c>
    </row>
    <row r="29">
      <c r="A29" s="22" t="inlineStr">
        <is>
          <t>ESP</t>
        </is>
      </c>
      <c r="B29" s="22" t="inlineStr">
        <is>
          <t>base</t>
        </is>
      </c>
      <c r="C29" s="24" t="n">
        <v>102716.37</v>
      </c>
      <c r="D29" s="24" t="n">
        <v>130000</v>
      </c>
      <c r="E29" s="23" t="n">
        <v>3</v>
      </c>
      <c r="F29" s="22" t="n">
        <v>1.266</v>
      </c>
    </row>
    <row r="30">
      <c r="A30" s="17" t="inlineStr">
        <is>
          <t>ESP</t>
        </is>
      </c>
      <c r="B30" s="17" t="inlineStr">
        <is>
          <t>high</t>
        </is>
      </c>
      <c r="C30" s="19" t="n">
        <v>172270.39</v>
      </c>
      <c r="D30" s="19" t="n">
        <v>130000</v>
      </c>
      <c r="E30" s="18" t="n">
        <v>3</v>
      </c>
      <c r="F30" s="17" t="n">
        <v>0.755</v>
      </c>
    </row>
    <row r="31">
      <c r="A31" s="22" t="inlineStr">
        <is>
          <t>ESP</t>
        </is>
      </c>
      <c r="B31" s="22" t="inlineStr">
        <is>
          <t>stress</t>
        </is>
      </c>
      <c r="C31" s="24" t="n">
        <v>70006.66</v>
      </c>
      <c r="D31" s="24" t="n">
        <v>130000</v>
      </c>
      <c r="E31" s="23" t="n">
        <v>3</v>
      </c>
      <c r="F31" s="22" t="n">
        <v>1.857</v>
      </c>
    </row>
    <row r="32">
      <c r="A32" s="17" t="inlineStr">
        <is>
          <t>DEU+CZE</t>
        </is>
      </c>
      <c r="B32" s="17" t="inlineStr">
        <is>
          <t>low</t>
        </is>
      </c>
      <c r="C32" s="19" t="n">
        <v>-2549.1</v>
      </c>
      <c r="D32" s="19" t="n">
        <v>375000</v>
      </c>
      <c r="E32" s="18" t="n">
        <v>7</v>
      </c>
      <c r="F32" s="17" t="n"/>
    </row>
    <row r="33">
      <c r="A33" s="22" t="inlineStr">
        <is>
          <t>DEU+CZE</t>
        </is>
      </c>
      <c r="B33" s="22" t="inlineStr">
        <is>
          <t>base</t>
        </is>
      </c>
      <c r="C33" s="24" t="n">
        <v>105471.58</v>
      </c>
      <c r="D33" s="24" t="n">
        <v>375000</v>
      </c>
      <c r="E33" s="23" t="n">
        <v>7</v>
      </c>
      <c r="F33" s="22" t="n">
        <v>3.555</v>
      </c>
    </row>
    <row r="34">
      <c r="A34" s="17" t="inlineStr">
        <is>
          <t>DEU+CZE</t>
        </is>
      </c>
      <c r="B34" s="17" t="inlineStr">
        <is>
          <t>high</t>
        </is>
      </c>
      <c r="C34" s="19" t="n">
        <v>213492.26</v>
      </c>
      <c r="D34" s="19" t="n">
        <v>375000</v>
      </c>
      <c r="E34" s="18" t="n">
        <v>7</v>
      </c>
      <c r="F34" s="17" t="n">
        <v>1.757</v>
      </c>
    </row>
    <row r="35">
      <c r="A35" s="22" t="inlineStr">
        <is>
          <t>DEU+CZE</t>
        </is>
      </c>
      <c r="B35" s="22" t="inlineStr">
        <is>
          <t>stress</t>
        </is>
      </c>
      <c r="C35" s="24" t="n">
        <v>-51409.99</v>
      </c>
      <c r="D35" s="24" t="n">
        <v>375000</v>
      </c>
      <c r="E35" s="23" t="n">
        <v>7</v>
      </c>
      <c r="F35" s="22" t="n"/>
    </row>
    <row r="36">
      <c r="A36" s="17" t="inlineStr">
        <is>
          <t>FRA+NLD</t>
        </is>
      </c>
      <c r="B36" s="17" t="inlineStr">
        <is>
          <t>low</t>
        </is>
      </c>
      <c r="C36" s="19" t="n">
        <v>-8643.75</v>
      </c>
      <c r="D36" s="19" t="n">
        <v>350000</v>
      </c>
      <c r="E36" s="18" t="n">
        <v>7</v>
      </c>
      <c r="F36" s="17" t="n"/>
    </row>
    <row r="37">
      <c r="A37" s="22" t="inlineStr">
        <is>
          <t>FRA+NLD</t>
        </is>
      </c>
      <c r="B37" s="22" t="inlineStr">
        <is>
          <t>base</t>
        </is>
      </c>
      <c r="C37" s="24" t="n">
        <v>91347.84</v>
      </c>
      <c r="D37" s="24" t="n">
        <v>350000</v>
      </c>
      <c r="E37" s="23" t="n">
        <v>7</v>
      </c>
      <c r="F37" s="22" t="n">
        <v>3.832</v>
      </c>
    </row>
    <row r="38">
      <c r="A38" s="17" t="inlineStr">
        <is>
          <t>FRA+NLD</t>
        </is>
      </c>
      <c r="B38" s="17" t="inlineStr">
        <is>
          <t>high</t>
        </is>
      </c>
      <c r="C38" s="19" t="n">
        <v>191339.41</v>
      </c>
      <c r="D38" s="19" t="n">
        <v>350000</v>
      </c>
      <c r="E38" s="18" t="n">
        <v>7</v>
      </c>
      <c r="F38" s="17" t="n">
        <v>1.829</v>
      </c>
    </row>
    <row r="39">
      <c r="A39" s="22" t="inlineStr">
        <is>
          <t>FRA+NLD</t>
        </is>
      </c>
      <c r="B39" s="22" t="inlineStr">
        <is>
          <t>stress</t>
        </is>
      </c>
      <c r="C39" s="24" t="n">
        <v>40721.37</v>
      </c>
      <c r="D39" s="24" t="n">
        <v>350000</v>
      </c>
      <c r="E39" s="23" t="n">
        <v>7</v>
      </c>
      <c r="F39" s="22" t="n">
        <v>8.595000000000001</v>
      </c>
    </row>
    <row r="40">
      <c r="A40" s="17" t="inlineStr">
        <is>
          <t>FRA+POL</t>
        </is>
      </c>
      <c r="B40" s="17" t="inlineStr">
        <is>
          <t>low</t>
        </is>
      </c>
      <c r="C40" s="19" t="n">
        <v>5924.02</v>
      </c>
      <c r="D40" s="19" t="n">
        <v>320000</v>
      </c>
      <c r="E40" s="18" t="n">
        <v>7</v>
      </c>
      <c r="F40" s="17" t="n">
        <v>54.017</v>
      </c>
    </row>
    <row r="41">
      <c r="A41" s="22" t="inlineStr">
        <is>
          <t>FRA+POL</t>
        </is>
      </c>
      <c r="B41" s="22" t="inlineStr">
        <is>
          <t>base</t>
        </is>
      </c>
      <c r="C41" s="24" t="n">
        <v>110745.25</v>
      </c>
      <c r="D41" s="24" t="n">
        <v>320000</v>
      </c>
      <c r="E41" s="23" t="n">
        <v>7</v>
      </c>
      <c r="F41" s="22" t="n">
        <v>2.89</v>
      </c>
    </row>
    <row r="42">
      <c r="A42" s="17" t="inlineStr">
        <is>
          <t>FRA+POL</t>
        </is>
      </c>
      <c r="B42" s="17" t="inlineStr">
        <is>
          <t>high</t>
        </is>
      </c>
      <c r="C42" s="19" t="n">
        <v>215566.47</v>
      </c>
      <c r="D42" s="19" t="n">
        <v>320000</v>
      </c>
      <c r="E42" s="18" t="n">
        <v>7</v>
      </c>
      <c r="F42" s="17" t="n">
        <v>1.484</v>
      </c>
    </row>
    <row r="43">
      <c r="A43" s="22" t="inlineStr">
        <is>
          <t>FRA+POL</t>
        </is>
      </c>
      <c r="B43" s="22" t="inlineStr">
        <is>
          <t>stress</t>
        </is>
      </c>
      <c r="C43" s="24" t="n">
        <v>-37644.91</v>
      </c>
      <c r="D43" s="24" t="n">
        <v>320000</v>
      </c>
      <c r="E43" s="23" t="n">
        <v>7</v>
      </c>
      <c r="F43" s="22" t="n"/>
    </row>
    <row r="44">
      <c r="A44" s="17" t="inlineStr">
        <is>
          <t>FRA+CZE</t>
        </is>
      </c>
      <c r="B44" s="17" t="inlineStr">
        <is>
          <t>low</t>
        </is>
      </c>
      <c r="C44" s="19" t="n">
        <v>11981.07</v>
      </c>
      <c r="D44" s="19" t="n">
        <v>305000</v>
      </c>
      <c r="E44" s="18" t="n">
        <v>6</v>
      </c>
      <c r="F44" s="17" t="n">
        <v>25.457</v>
      </c>
    </row>
    <row r="45">
      <c r="A45" s="22" t="inlineStr">
        <is>
          <t>FRA+CZE</t>
        </is>
      </c>
      <c r="B45" s="22" t="inlineStr">
        <is>
          <t>base</t>
        </is>
      </c>
      <c r="C45" s="24" t="n">
        <v>122515.72</v>
      </c>
      <c r="D45" s="24" t="n">
        <v>305000</v>
      </c>
      <c r="E45" s="23" t="n">
        <v>6</v>
      </c>
      <c r="F45" s="22" t="n">
        <v>2.489</v>
      </c>
    </row>
    <row r="46">
      <c r="A46" s="17" t="inlineStr">
        <is>
          <t>FRA+CZE</t>
        </is>
      </c>
      <c r="B46" s="17" t="inlineStr">
        <is>
          <t>high</t>
        </is>
      </c>
      <c r="C46" s="19" t="n">
        <v>233050.36</v>
      </c>
      <c r="D46" s="19" t="n">
        <v>305000</v>
      </c>
      <c r="E46" s="18" t="n">
        <v>6</v>
      </c>
      <c r="F46" s="17" t="n">
        <v>1.309</v>
      </c>
    </row>
    <row r="47">
      <c r="A47" s="22" t="inlineStr">
        <is>
          <t>FRA+CZE</t>
        </is>
      </c>
      <c r="B47" s="22" t="inlineStr">
        <is>
          <t>stress</t>
        </is>
      </c>
      <c r="C47" s="24" t="n">
        <v>-34729.05</v>
      </c>
      <c r="D47" s="24" t="n">
        <v>305000</v>
      </c>
      <c r="E47" s="23" t="n">
        <v>6</v>
      </c>
      <c r="F47" s="22" t="n"/>
    </row>
    <row r="48">
      <c r="A48" s="17" t="inlineStr">
        <is>
          <t>FRA+ESP</t>
        </is>
      </c>
      <c r="B48" s="17" t="inlineStr">
        <is>
          <t>low</t>
        </is>
      </c>
      <c r="C48" s="19" t="n">
        <v>13686.66</v>
      </c>
      <c r="D48" s="19" t="n">
        <v>340000</v>
      </c>
      <c r="E48" s="18" t="n">
        <v>7</v>
      </c>
      <c r="F48" s="17" t="n">
        <v>24.842</v>
      </c>
    </row>
    <row r="49">
      <c r="A49" s="22" t="inlineStr">
        <is>
          <t>FRA+ESP</t>
        </is>
      </c>
      <c r="B49" s="22" t="inlineStr">
        <is>
          <t>base</t>
        </is>
      </c>
      <c r="C49" s="24" t="n">
        <v>129849.15</v>
      </c>
      <c r="D49" s="24" t="n">
        <v>340000</v>
      </c>
      <c r="E49" s="23" t="n">
        <v>7</v>
      </c>
      <c r="F49" s="22" t="n">
        <v>2.618</v>
      </c>
    </row>
    <row r="50">
      <c r="A50" s="17" t="inlineStr">
        <is>
          <t>FRA+ESP</t>
        </is>
      </c>
      <c r="B50" s="17" t="inlineStr">
        <is>
          <t>high</t>
        </is>
      </c>
      <c r="C50" s="19" t="n">
        <v>246011.63</v>
      </c>
      <c r="D50" s="19" t="n">
        <v>340000</v>
      </c>
      <c r="E50" s="18" t="n">
        <v>7</v>
      </c>
      <c r="F50" s="17" t="n">
        <v>1.382</v>
      </c>
    </row>
    <row r="51">
      <c r="A51" s="22" t="inlineStr">
        <is>
          <t>FRA+ESP</t>
        </is>
      </c>
      <c r="B51" s="22" t="inlineStr">
        <is>
          <t>stress</t>
        </is>
      </c>
      <c r="C51" s="24" t="n">
        <v>73104.56</v>
      </c>
      <c r="D51" s="24" t="n">
        <v>340000</v>
      </c>
      <c r="E51" s="23" t="n">
        <v>7</v>
      </c>
      <c r="F51" s="22" t="n">
        <v>4.651</v>
      </c>
    </row>
    <row r="52">
      <c r="A52" s="17" t="inlineStr">
        <is>
          <t>NLD+POL</t>
        </is>
      </c>
      <c r="B52" s="17" t="inlineStr">
        <is>
          <t>low</t>
        </is>
      </c>
      <c r="C52" s="19" t="n">
        <v>36231.65</v>
      </c>
      <c r="D52" s="19" t="n">
        <v>250000</v>
      </c>
      <c r="E52" s="18" t="n">
        <v>6</v>
      </c>
      <c r="F52" s="17" t="n">
        <v>6.9</v>
      </c>
    </row>
    <row r="53">
      <c r="A53" s="22" t="inlineStr">
        <is>
          <t>NLD+POL</t>
        </is>
      </c>
      <c r="B53" s="22" t="inlineStr">
        <is>
          <t>base</t>
        </is>
      </c>
      <c r="C53" s="24" t="n">
        <v>147827.53</v>
      </c>
      <c r="D53" s="24" t="n">
        <v>250000</v>
      </c>
      <c r="E53" s="23" t="n">
        <v>6</v>
      </c>
      <c r="F53" s="22" t="n">
        <v>1.691</v>
      </c>
    </row>
    <row r="54">
      <c r="A54" s="17" t="inlineStr">
        <is>
          <t>NLD+POL</t>
        </is>
      </c>
      <c r="B54" s="17" t="inlineStr">
        <is>
          <t>high</t>
        </is>
      </c>
      <c r="C54" s="19" t="n">
        <v>259423.4</v>
      </c>
      <c r="D54" s="19" t="n">
        <v>250000</v>
      </c>
      <c r="E54" s="18" t="n">
        <v>6</v>
      </c>
      <c r="F54" s="17" t="n">
        <v>0.964</v>
      </c>
    </row>
    <row r="55">
      <c r="A55" s="22" t="inlineStr">
        <is>
          <t>NLD+POL</t>
        </is>
      </c>
      <c r="B55" s="22" t="inlineStr">
        <is>
          <t>stress</t>
        </is>
      </c>
      <c r="C55" s="24" t="n">
        <v>-3119.34</v>
      </c>
      <c r="D55" s="24" t="n">
        <v>250000</v>
      </c>
      <c r="E55" s="23" t="n">
        <v>6</v>
      </c>
      <c r="F55" s="22" t="n"/>
    </row>
    <row r="56">
      <c r="A56" s="17" t="inlineStr">
        <is>
          <t>NLD+CZE</t>
        </is>
      </c>
      <c r="B56" s="17" t="inlineStr">
        <is>
          <t>low</t>
        </is>
      </c>
      <c r="C56" s="19" t="n">
        <v>42288.7</v>
      </c>
      <c r="D56" s="19" t="n">
        <v>235000</v>
      </c>
      <c r="E56" s="18" t="n">
        <v>5</v>
      </c>
      <c r="F56" s="17" t="n">
        <v>5.557</v>
      </c>
    </row>
    <row r="57">
      <c r="A57" s="22" t="inlineStr">
        <is>
          <t>NLD+CZE</t>
        </is>
      </c>
      <c r="B57" s="22" t="inlineStr">
        <is>
          <t>base</t>
        </is>
      </c>
      <c r="C57" s="24" t="n">
        <v>159598</v>
      </c>
      <c r="D57" s="24" t="n">
        <v>235000</v>
      </c>
      <c r="E57" s="23" t="n">
        <v>5</v>
      </c>
      <c r="F57" s="22" t="n">
        <v>1.472</v>
      </c>
    </row>
    <row r="58">
      <c r="A58" s="17" t="inlineStr">
        <is>
          <t>NLD+CZE</t>
        </is>
      </c>
      <c r="B58" s="17" t="inlineStr">
        <is>
          <t>high</t>
        </is>
      </c>
      <c r="C58" s="19" t="n">
        <v>276907.29</v>
      </c>
      <c r="D58" s="19" t="n">
        <v>235000</v>
      </c>
      <c r="E58" s="18" t="n">
        <v>5</v>
      </c>
      <c r="F58" s="17" t="n">
        <v>0.849</v>
      </c>
    </row>
    <row r="59">
      <c r="A59" s="22" t="inlineStr">
        <is>
          <t>NLD+CZE</t>
        </is>
      </c>
      <c r="B59" s="22" t="inlineStr">
        <is>
          <t>stress</t>
        </is>
      </c>
      <c r="C59" s="24" t="n">
        <v>-203.48</v>
      </c>
      <c r="D59" s="24" t="n">
        <v>235000</v>
      </c>
      <c r="E59" s="23" t="n">
        <v>5</v>
      </c>
      <c r="F59" s="22" t="n"/>
    </row>
    <row r="60">
      <c r="A60" s="17" t="inlineStr">
        <is>
          <t>NLD+ESP</t>
        </is>
      </c>
      <c r="B60" s="17" t="inlineStr">
        <is>
          <t>low</t>
        </is>
      </c>
      <c r="C60" s="19" t="n">
        <v>43994.29</v>
      </c>
      <c r="D60" s="19" t="n">
        <v>270000</v>
      </c>
      <c r="E60" s="18" t="n">
        <v>6</v>
      </c>
      <c r="F60" s="17" t="n">
        <v>6.137</v>
      </c>
    </row>
    <row r="61">
      <c r="A61" s="22" t="inlineStr">
        <is>
          <t>NLD+ESP</t>
        </is>
      </c>
      <c r="B61" s="22" t="inlineStr">
        <is>
          <t>base</t>
        </is>
      </c>
      <c r="C61" s="24" t="n">
        <v>166931.43</v>
      </c>
      <c r="D61" s="24" t="n">
        <v>270000</v>
      </c>
      <c r="E61" s="23" t="n">
        <v>6</v>
      </c>
      <c r="F61" s="22" t="n">
        <v>1.617</v>
      </c>
    </row>
    <row r="62">
      <c r="A62" s="17" t="inlineStr">
        <is>
          <t>NLD+ESP</t>
        </is>
      </c>
      <c r="B62" s="17" t="inlineStr">
        <is>
          <t>high</t>
        </is>
      </c>
      <c r="C62" s="19" t="n">
        <v>289868.56</v>
      </c>
      <c r="D62" s="19" t="n">
        <v>270000</v>
      </c>
      <c r="E62" s="18" t="n">
        <v>6</v>
      </c>
      <c r="F62" s="17" t="n">
        <v>0.931</v>
      </c>
    </row>
    <row r="63">
      <c r="A63" s="22" t="inlineStr">
        <is>
          <t>NLD+ESP</t>
        </is>
      </c>
      <c r="B63" s="22" t="inlineStr">
        <is>
          <t>stress</t>
        </is>
      </c>
      <c r="C63" s="24" t="n">
        <v>107630.13</v>
      </c>
      <c r="D63" s="24" t="n">
        <v>270000</v>
      </c>
      <c r="E63" s="23" t="n">
        <v>6</v>
      </c>
      <c r="F63" s="22" t="n">
        <v>2.509</v>
      </c>
    </row>
    <row r="64">
      <c r="A64" s="17" t="inlineStr">
        <is>
          <t>POL+CZE</t>
        </is>
      </c>
      <c r="B64" s="17" t="inlineStr">
        <is>
          <t>low</t>
        </is>
      </c>
      <c r="C64" s="19" t="n">
        <v>56856.47</v>
      </c>
      <c r="D64" s="19" t="n">
        <v>205000</v>
      </c>
      <c r="E64" s="18" t="n">
        <v>5</v>
      </c>
      <c r="F64" s="17" t="n">
        <v>3.606</v>
      </c>
    </row>
    <row r="65">
      <c r="A65" s="22" t="inlineStr">
        <is>
          <t>POL+CZE</t>
        </is>
      </c>
      <c r="B65" s="22" t="inlineStr">
        <is>
          <t>base</t>
        </is>
      </c>
      <c r="C65" s="24" t="n">
        <v>178995.41</v>
      </c>
      <c r="D65" s="24" t="n">
        <v>205000</v>
      </c>
      <c r="E65" s="23" t="n">
        <v>5</v>
      </c>
      <c r="F65" s="22" t="n">
        <v>1.145</v>
      </c>
    </row>
    <row r="66">
      <c r="A66" s="17" t="inlineStr">
        <is>
          <t>POL+CZE</t>
        </is>
      </c>
      <c r="B66" s="17" t="inlineStr">
        <is>
          <t>high</t>
        </is>
      </c>
      <c r="C66" s="19" t="n">
        <v>301134.35</v>
      </c>
      <c r="D66" s="19" t="n">
        <v>205000</v>
      </c>
      <c r="E66" s="18" t="n">
        <v>5</v>
      </c>
      <c r="F66" s="17" t="n">
        <v>0.681</v>
      </c>
    </row>
    <row r="67">
      <c r="A67" s="22" t="inlineStr">
        <is>
          <t>POL+CZE</t>
        </is>
      </c>
      <c r="B67" s="22" t="inlineStr">
        <is>
          <t>stress</t>
        </is>
      </c>
      <c r="C67" s="24" t="n">
        <v>-78569.75999999999</v>
      </c>
      <c r="D67" s="24" t="n">
        <v>205000</v>
      </c>
      <c r="E67" s="23" t="n">
        <v>5</v>
      </c>
      <c r="F67" s="22" t="n"/>
    </row>
    <row r="68">
      <c r="A68" s="17" t="inlineStr">
        <is>
          <t>POL+ESP</t>
        </is>
      </c>
      <c r="B68" s="17" t="inlineStr">
        <is>
          <t>low</t>
        </is>
      </c>
      <c r="C68" s="19" t="n">
        <v>58562.06</v>
      </c>
      <c r="D68" s="19" t="n">
        <v>240000</v>
      </c>
      <c r="E68" s="18" t="n">
        <v>6</v>
      </c>
      <c r="F68" s="17" t="n">
        <v>4.098</v>
      </c>
    </row>
    <row r="69">
      <c r="A69" s="22" t="inlineStr">
        <is>
          <t>POL+ESP</t>
        </is>
      </c>
      <c r="B69" s="22" t="inlineStr">
        <is>
          <t>base</t>
        </is>
      </c>
      <c r="C69" s="24" t="n">
        <v>186328.84</v>
      </c>
      <c r="D69" s="24" t="n">
        <v>240000</v>
      </c>
      <c r="E69" s="23" t="n">
        <v>6</v>
      </c>
      <c r="F69" s="22" t="n">
        <v>1.288</v>
      </c>
    </row>
    <row r="70">
      <c r="A70" s="17" t="inlineStr">
        <is>
          <t>POL+ESP</t>
        </is>
      </c>
      <c r="B70" s="17" t="inlineStr">
        <is>
          <t>high</t>
        </is>
      </c>
      <c r="C70" s="19" t="n">
        <v>314095.62</v>
      </c>
      <c r="D70" s="19" t="n">
        <v>240000</v>
      </c>
      <c r="E70" s="18" t="n">
        <v>6</v>
      </c>
      <c r="F70" s="17" t="n">
        <v>0.764</v>
      </c>
    </row>
    <row r="71">
      <c r="A71" s="22" t="inlineStr">
        <is>
          <t>POL+ESP</t>
        </is>
      </c>
      <c r="B71" s="22" t="inlineStr">
        <is>
          <t>stress</t>
        </is>
      </c>
      <c r="C71" s="24" t="n">
        <v>29263.85</v>
      </c>
      <c r="D71" s="24" t="n">
        <v>240000</v>
      </c>
      <c r="E71" s="23" t="n">
        <v>6</v>
      </c>
      <c r="F71" s="22" t="n">
        <v>8.201000000000001</v>
      </c>
    </row>
    <row r="72">
      <c r="A72" s="17" t="inlineStr">
        <is>
          <t>CZE+ESP</t>
        </is>
      </c>
      <c r="B72" s="17" t="inlineStr">
        <is>
          <t>low</t>
        </is>
      </c>
      <c r="C72" s="19" t="n">
        <v>64619.11</v>
      </c>
      <c r="D72" s="19" t="n">
        <v>225000</v>
      </c>
      <c r="E72" s="18" t="n">
        <v>5</v>
      </c>
      <c r="F72" s="17" t="n">
        <v>3.482</v>
      </c>
    </row>
    <row r="73">
      <c r="A73" s="22" t="inlineStr">
        <is>
          <t>CZE+ESP</t>
        </is>
      </c>
      <c r="B73" s="22" t="inlineStr">
        <is>
          <t>base</t>
        </is>
      </c>
      <c r="C73" s="24" t="n">
        <v>198099.31</v>
      </c>
      <c r="D73" s="24" t="n">
        <v>225000</v>
      </c>
      <c r="E73" s="23" t="n">
        <v>5</v>
      </c>
      <c r="F73" s="22" t="n">
        <v>1.136</v>
      </c>
    </row>
    <row r="74">
      <c r="A74" s="17" t="inlineStr">
        <is>
          <t>CZE+ESP</t>
        </is>
      </c>
      <c r="B74" s="17" t="inlineStr">
        <is>
          <t>high</t>
        </is>
      </c>
      <c r="C74" s="19" t="n">
        <v>331579.51</v>
      </c>
      <c r="D74" s="19" t="n">
        <v>225000</v>
      </c>
      <c r="E74" s="18" t="n">
        <v>5</v>
      </c>
      <c r="F74" s="17" t="n">
        <v>0.679</v>
      </c>
    </row>
    <row r="75">
      <c r="A75" s="22" t="inlineStr">
        <is>
          <t>CZE+ESP</t>
        </is>
      </c>
      <c r="B75" s="22" t="inlineStr">
        <is>
          <t>stress</t>
        </is>
      </c>
      <c r="C75" s="24" t="n">
        <v>32179.71</v>
      </c>
      <c r="D75" s="24" t="n">
        <v>225000</v>
      </c>
      <c r="E75" s="23" t="n">
        <v>5</v>
      </c>
      <c r="F75" s="22" t="n">
        <v>6.992</v>
      </c>
    </row>
  </sheetData>
  <autoFilter ref="A3:F75"/>
  <mergeCells count="1">
    <mergeCell ref="A1:F1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5" customWidth="1" min="2" max="2"/>
  </cols>
  <sheetData>
    <row r="1" ht="32" customHeight="1">
      <c r="A1" s="15" t="inlineStr">
        <is>
          <t>Data-quality and accounting decisions</t>
        </is>
      </c>
    </row>
    <row r="3" ht="30" customHeight="1">
      <c r="A3" s="16" t="inlineStr">
        <is>
          <t>Check</t>
        </is>
      </c>
      <c r="B3" s="16" t="inlineStr">
        <is>
          <t>Observed result / treatment</t>
        </is>
      </c>
    </row>
    <row r="4" ht="19" customHeight="1">
      <c r="A4" s="17" t="inlineStr">
        <is>
          <t>Order page rows</t>
        </is>
      </c>
      <c r="B4" s="28" t="n">
        <v>1310</v>
      </c>
    </row>
    <row r="5" ht="19" customHeight="1">
      <c r="A5" s="22" t="inlineStr">
        <is>
          <t>Correction rows</t>
        </is>
      </c>
      <c r="B5" s="14" t="n">
        <v>18</v>
      </c>
    </row>
    <row r="6" ht="19" customHeight="1">
      <c r="A6" s="17" t="inlineStr">
        <is>
          <t>Raw order rows</t>
        </is>
      </c>
      <c r="B6" s="28" t="n">
        <v>1328</v>
      </c>
    </row>
    <row r="7" ht="19" customHeight="1">
      <c r="A7" s="22" t="inlineStr">
        <is>
          <t>Distinct order IDs</t>
        </is>
      </c>
      <c r="B7" s="14" t="n">
        <v>1297</v>
      </c>
    </row>
    <row r="8" ht="19" customHeight="1">
      <c r="A8" s="17" t="inlineStr">
        <is>
          <t>Exact repeated order rows</t>
        </is>
      </c>
      <c r="B8" s="28" t="n">
        <v>13</v>
      </c>
    </row>
    <row r="9" ht="19" customHeight="1">
      <c r="A9" s="22" t="inlineStr">
        <is>
          <t>Superseded order revision rows</t>
        </is>
      </c>
      <c r="B9" s="14" t="n">
        <v>18</v>
      </c>
    </row>
    <row r="10" ht="19" customHeight="1">
      <c r="A10" s="17" t="inlineStr">
        <is>
          <t>Raw rows missing shipped_at</t>
        </is>
      </c>
      <c r="B10" s="28" t="n">
        <v>24</v>
      </c>
    </row>
    <row r="11" ht="19" customHeight="1">
      <c r="A11" s="22" t="inlineStr">
        <is>
          <t>Eligible 2025 shipped orders</t>
        </is>
      </c>
      <c r="B11" s="14" t="n">
        <v>1254</v>
      </c>
    </row>
    <row r="12" ht="19" customHeight="1">
      <c r="A12" s="17" t="inlineStr">
        <is>
          <t>Cancelled/other excluded</t>
        </is>
      </c>
      <c r="B12" s="28" t="n">
        <v>24</v>
      </c>
    </row>
    <row r="13" ht="19" customHeight="1">
      <c r="A13" s="22" t="inlineStr">
        <is>
          <t>Test excluded</t>
        </is>
      </c>
      <c r="B13" s="14" t="n">
        <v>18</v>
      </c>
    </row>
    <row r="14" ht="19" customHeight="1">
      <c r="A14" s="17" t="inlineStr">
        <is>
          <t>Future/missing ship date excluded</t>
        </is>
      </c>
      <c r="B14" s="28" t="n">
        <v>1</v>
      </c>
    </row>
    <row r="15" ht="19" customHeight="1">
      <c r="A15" s="22" t="inlineStr">
        <is>
          <t>Included free orders</t>
        </is>
      </c>
      <c r="B15" s="14" t="n">
        <v>12</v>
      </c>
    </row>
    <row r="16" ht="19" customHeight="1">
      <c r="A16" s="17" t="inlineStr">
        <is>
          <t>Raw return rows</t>
        </is>
      </c>
      <c r="B16" s="28" t="n">
        <v>264</v>
      </c>
    </row>
    <row r="17" ht="19" customHeight="1">
      <c r="A17" s="22" t="inlineStr">
        <is>
          <t>Distinct return IDs</t>
        </is>
      </c>
      <c r="B17" s="14" t="n">
        <v>243</v>
      </c>
    </row>
    <row r="18" ht="19" customHeight="1">
      <c r="A18" s="17" t="inlineStr">
        <is>
          <t>Exact repeated return rows</t>
        </is>
      </c>
      <c r="B18" s="28" t="n">
        <v>20</v>
      </c>
    </row>
    <row r="19" ht="19" customHeight="1">
      <c r="A19" s="22" t="inlineStr">
        <is>
          <t>Superseded return revision rows</t>
        </is>
      </c>
      <c r="B19" s="14" t="n">
        <v>1</v>
      </c>
    </row>
    <row r="20" ht="19" customHeight="1">
      <c r="A20" s="17" t="inlineStr">
        <is>
          <t>Included return IDs</t>
        </is>
      </c>
      <c r="B20" s="28" t="n">
        <v>241</v>
      </c>
    </row>
    <row r="21" ht="19" customHeight="1">
      <c r="A21" s="22" t="inlineStr">
        <is>
          <t>Orphan quarantined</t>
        </is>
      </c>
      <c r="B21" s="14" t="n">
        <v>1</v>
      </c>
    </row>
    <row r="22" ht="19" customHeight="1">
      <c r="A22" s="17" t="inlineStr">
        <is>
          <t>After cutoff excluded</t>
        </is>
      </c>
      <c r="B22" s="28" t="n">
        <v>1</v>
      </c>
    </row>
    <row r="23" ht="19" customHeight="1">
      <c r="A23" s="22" t="inlineStr">
        <is>
          <t>Returned units</t>
        </is>
      </c>
      <c r="B23" s="14" t="n">
        <v>1081</v>
      </c>
    </row>
    <row r="24" ht="27" customHeight="1">
      <c r="A24" s="17" t="inlineStr">
        <is>
          <t>Restocked units</t>
        </is>
      </c>
      <c r="B24" s="28" t="n">
        <v>481</v>
      </c>
    </row>
    <row r="25" ht="27" customHeight="1">
      <c r="A25" s="22" t="inlineStr">
        <is>
          <t>Core missing values</t>
        </is>
      </c>
      <c r="B25" s="14" t="inlineStr">
        <is>
          <t>{'population': 0, 'gdp_per_capita_usd': 0, 'monthly_fx': 0, 'eligible_order_cost': 0}</t>
        </is>
      </c>
    </row>
    <row r="26" ht="27" customHeight="1">
      <c r="A26" s="17" t="inlineStr">
        <is>
          <t>Reconciliation</t>
        </is>
      </c>
      <c r="B26" s="28" t="inlineStr">
        <is>
          <t>All 72 monthly rows reconcile exactly to six country totals at order-rounded cents.</t>
        </is>
      </c>
    </row>
    <row r="27" ht="27" customHeight="1">
      <c r="A27" s="22" t="inlineStr">
        <is>
          <t>Archive vintage</t>
        </is>
      </c>
      <c r="B27" s="14" t="inlineStr">
        <is>
          <t>Official series were collected by the source room on 2026-09-27; World Bank lastupdated is 2026-07-13. Historical observations may have been revised.</t>
        </is>
      </c>
    </row>
    <row r="28" ht="27" customHeight="1">
      <c r="A28" s="17" t="inlineStr">
        <is>
          <t>FX limitation</t>
        </is>
      </c>
      <c r="B28" s="28" t="inlineStr">
        <is>
          <t>ECB means use all nonmissing published 2025 dates in the source-room archive; original sale-month quote used for returns. Actual settlement FX is unavailable.</t>
        </is>
      </c>
    </row>
  </sheetData>
  <autoFilter ref="A3:B28"/>
  <mergeCells count="1">
    <mergeCell ref="A1:B1"/>
  </mergeCell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64" customWidth="1" min="3" max="3"/>
    <col width="45" customWidth="1" min="4" max="4"/>
    <col width="29" customWidth="1" min="5" max="5"/>
    <col width="29" customWidth="1" min="6" max="6"/>
    <col width="68" customWidth="1" min="7" max="7"/>
    <col width="28" customWidth="1" min="8" max="8"/>
    <col width="22" customWidth="1" min="9" max="9"/>
    <col width="20" customWidth="1" min="10" max="10"/>
  </cols>
  <sheetData>
    <row r="1" ht="32" customHeight="1">
      <c r="A1" s="15" t="inlineStr">
        <is>
          <t>Frozen source-room register | original URLs, hashes, vintages</t>
        </is>
      </c>
    </row>
    <row r="3" ht="30" customHeight="1">
      <c r="A3" s="16" t="inlineStr">
        <is>
          <t>File</t>
        </is>
      </c>
      <c r="B3" s="16" t="inlineStr">
        <is>
          <t>Status</t>
        </is>
      </c>
      <c r="C3" s="16" t="inlineStr">
        <is>
          <t>Original public URL</t>
        </is>
      </c>
      <c r="D3" s="16" t="inlineStr">
        <is>
          <t>Source room URL</t>
        </is>
      </c>
      <c r="E3" s="16" t="inlineStr">
        <is>
          <t>Archive retrieved UTC</t>
        </is>
      </c>
      <c r="F3" s="16" t="inlineStr">
        <is>
          <t>Local downloaded UTC</t>
        </is>
      </c>
      <c r="G3" s="16" t="inlineStr">
        <is>
          <t>SHA-256</t>
        </is>
      </c>
      <c r="H3" s="16" t="inlineStr">
        <is>
          <t>Units</t>
        </is>
      </c>
      <c r="I3" s="16" t="inlineStr">
        <is>
          <t>Period</t>
        </is>
      </c>
      <c r="J3" s="16" t="inlineStr">
        <is>
          <t>Source revision</t>
        </is>
      </c>
    </row>
    <row r="4">
      <c r="A4" s="17" t="inlineStr">
        <is>
          <t>evidence/raw/orders-part1.csv</t>
        </is>
      </c>
      <c r="B4" s="17" t="inlineStr">
        <is>
          <t>synthetic client</t>
        </is>
      </c>
      <c r="C4" s="17" t="inlineStr"/>
      <c r="D4" s="17" t="inlineStr">
        <is>
          <t>http://127.0.0.1:65178/orders-part1.csv</t>
        </is>
      </c>
      <c r="E4" s="17" t="inlineStr"/>
      <c r="F4" s="17" t="inlineStr">
        <is>
          <t>2026-09-27T09:58:46.236449+00:00</t>
        </is>
      </c>
      <c r="G4" s="17" t="inlineStr">
        <is>
          <t>be35dd1504ce473fdbb634ee4ef964b5c0f5846d5ec3e5ef7d0110a4a361d056</t>
        </is>
      </c>
      <c r="H4" s="17" t="inlineStr">
        <is>
          <t>orders/units/local currency/EUR</t>
        </is>
      </c>
      <c r="I4" s="17" t="inlineStr">
        <is>
          <t>2025-2026</t>
        </is>
      </c>
      <c r="J4" s="17" t="inlineStr"/>
    </row>
    <row r="5">
      <c r="A5" s="22" t="inlineStr">
        <is>
          <t>evidence/raw/orders-part2.csv</t>
        </is>
      </c>
      <c r="B5" s="22" t="inlineStr">
        <is>
          <t>synthetic client</t>
        </is>
      </c>
      <c r="C5" s="22" t="inlineStr"/>
      <c r="D5" s="22" t="inlineStr">
        <is>
          <t>http://127.0.0.1:65178/orders-part2.csv</t>
        </is>
      </c>
      <c r="E5" s="22" t="inlineStr"/>
      <c r="F5" s="22" t="inlineStr">
        <is>
          <t>2026-09-27T09:58:46.236914+00:00</t>
        </is>
      </c>
      <c r="G5" s="22" t="inlineStr">
        <is>
          <t>43efbae4b8a57832a8936c85c7c253df4e74190dcc5b31298198c8a97bf19509</t>
        </is>
      </c>
      <c r="H5" s="22" t="inlineStr">
        <is>
          <t>orders/units/local currency/EUR</t>
        </is>
      </c>
      <c r="I5" s="22" t="inlineStr">
        <is>
          <t>2025-2026</t>
        </is>
      </c>
      <c r="J5" s="22" t="inlineStr"/>
    </row>
    <row r="6">
      <c r="A6" s="17" t="inlineStr">
        <is>
          <t>evidence/raw/order-corrections.csv</t>
        </is>
      </c>
      <c r="B6" s="17" t="inlineStr">
        <is>
          <t>synthetic client</t>
        </is>
      </c>
      <c r="C6" s="17" t="inlineStr"/>
      <c r="D6" s="17" t="inlineStr">
        <is>
          <t>http://127.0.0.1:65178/order-corrections.csv</t>
        </is>
      </c>
      <c r="E6" s="17" t="inlineStr"/>
      <c r="F6" s="17" t="inlineStr">
        <is>
          <t>2026-09-27T09:58:46.235942+00:00</t>
        </is>
      </c>
      <c r="G6" s="17" t="inlineStr">
        <is>
          <t>5cbfcbaf15ff4cf875ef8059a1408160758115b0734fe53dbd971d368ec7131d</t>
        </is>
      </c>
      <c r="H6" s="17" t="inlineStr">
        <is>
          <t>orders/units/local currency/EUR</t>
        </is>
      </c>
      <c r="I6" s="17" t="inlineStr">
        <is>
          <t>2025</t>
        </is>
      </c>
      <c r="J6" s="17" t="inlineStr"/>
    </row>
    <row r="7">
      <c r="A7" s="22" t="inlineStr">
        <is>
          <t>evidence/raw/returns.csv</t>
        </is>
      </c>
      <c r="B7" s="22" t="inlineStr">
        <is>
          <t>synthetic client</t>
        </is>
      </c>
      <c r="C7" s="22" t="inlineStr"/>
      <c r="D7" s="22" t="inlineStr">
        <is>
          <t>http://127.0.0.1:65178/returns.csv</t>
        </is>
      </c>
      <c r="E7" s="22" t="inlineStr"/>
      <c r="F7" s="22" t="inlineStr">
        <is>
          <t>2026-09-27T09:58:46.237640+00:00</t>
        </is>
      </c>
      <c r="G7" s="22" t="inlineStr">
        <is>
          <t>f356d530a9f95cc3e9770e299dbd561cfb55e2dcb02bf6142dcef1e657a6d713</t>
        </is>
      </c>
      <c r="H7" s="22" t="inlineStr">
        <is>
          <t>units/local currency</t>
        </is>
      </c>
      <c r="I7" s="22" t="inlineStr">
        <is>
          <t>2025-2026-02-01</t>
        </is>
      </c>
      <c r="J7" s="22" t="inlineStr"/>
    </row>
    <row r="8">
      <c r="A8" s="17" t="inlineStr">
        <is>
          <t>evidence/raw/unit-costs.csv</t>
        </is>
      </c>
      <c r="B8" s="17" t="inlineStr">
        <is>
          <t>synthetic client</t>
        </is>
      </c>
      <c r="C8" s="17" t="inlineStr"/>
      <c r="D8" s="17" t="inlineStr">
        <is>
          <t>http://127.0.0.1:65178/unit-costs.csv</t>
        </is>
      </c>
      <c r="E8" s="17" t="inlineStr"/>
      <c r="F8" s="17" t="inlineStr">
        <is>
          <t>2026-09-27T09:58:46.238648+00:00</t>
        </is>
      </c>
      <c r="G8" s="17" t="inlineStr">
        <is>
          <t>76dce7f58ab3d3eec5af1e50c5af45bf2fdc72d195478b4e17d46a2951342b31</t>
        </is>
      </c>
      <c r="H8" s="17" t="inlineStr">
        <is>
          <t>EUR/unit</t>
        </is>
      </c>
      <c r="I8" s="17" t="inlineStr">
        <is>
          <t>2025</t>
        </is>
      </c>
      <c r="J8" s="17" t="inlineStr"/>
    </row>
    <row r="9">
      <c r="A9" s="22" t="inlineStr">
        <is>
          <t>evidence/raw/hub-options.csv</t>
        </is>
      </c>
      <c r="B9" s="22" t="inlineStr">
        <is>
          <t>synthetic client</t>
        </is>
      </c>
      <c r="C9" s="22" t="inlineStr"/>
      <c r="D9" s="22" t="inlineStr">
        <is>
          <t>http://127.0.0.1:65178/hub-options.csv</t>
        </is>
      </c>
      <c r="E9" s="22" t="inlineStr"/>
      <c r="F9" s="22" t="inlineStr">
        <is>
          <t>2026-09-27T09:58:46.235462+00:00</t>
        </is>
      </c>
      <c r="G9" s="22" t="inlineStr">
        <is>
          <t>2f508c9bd49c45b9b28621f46cc68cb7ac6fa4f3fc1acabb61a7c4f06dce6006</t>
        </is>
      </c>
      <c r="H9" s="22" t="inlineStr">
        <is>
          <t>EUR, EUR/unit, FTE</t>
        </is>
      </c>
      <c r="I9" s="22" t="inlineStr">
        <is>
          <t>annual planning assumption</t>
        </is>
      </c>
      <c r="J9" s="22" t="inlineStr"/>
    </row>
    <row r="10">
      <c r="A10" s="17" t="inlineStr">
        <is>
          <t>evidence/raw/scenario-policy.md</t>
        </is>
      </c>
      <c r="B10" s="17" t="inlineStr">
        <is>
          <t>synthetic client</t>
        </is>
      </c>
      <c r="C10" s="17" t="inlineStr"/>
      <c r="D10" s="17" t="inlineStr">
        <is>
          <t>http://127.0.0.1:65178/scenario-policy.md</t>
        </is>
      </c>
      <c r="E10" s="17" t="inlineStr"/>
      <c r="F10" s="17" t="inlineStr">
        <is>
          <t>2026-09-27T09:58:46.238004+00:00</t>
        </is>
      </c>
      <c r="G10" s="17" t="inlineStr">
        <is>
          <t>0567e2f884c19c78ea2ab43a97feb1fd31bfa13db429d7d2f4bfb768b481499b</t>
        </is>
      </c>
      <c r="H10" s="17" t="inlineStr">
        <is>
          <t>EUR, proportions</t>
        </is>
      </c>
      <c r="I10" s="17" t="inlineStr">
        <is>
          <t>annual planning assumption</t>
        </is>
      </c>
      <c r="J10" s="17" t="inlineStr"/>
    </row>
    <row r="11">
      <c r="A11" s="22" t="inlineStr">
        <is>
          <t>evidence/raw/data-dictionary.md</t>
        </is>
      </c>
      <c r="B11" s="22" t="inlineStr">
        <is>
          <t>synthetic client</t>
        </is>
      </c>
      <c r="C11" s="22" t="inlineStr"/>
      <c r="D11" s="22" t="inlineStr">
        <is>
          <t>http://127.0.0.1:65178/data-dictionary.md</t>
        </is>
      </c>
      <c r="E11" s="22" t="inlineStr"/>
      <c r="F11" s="22" t="inlineStr">
        <is>
          <t>2026-09-27T09:58:46.231815+00:00</t>
        </is>
      </c>
      <c r="G11" s="22" t="inlineStr">
        <is>
          <t>0a1866e9f89b5c6d40ed2ac24599a118223360fa028e61012d1ecd8ac6b6117f</t>
        </is>
      </c>
      <c r="H11" s="22" t="inlineStr">
        <is>
          <t>definitions</t>
        </is>
      </c>
      <c r="I11" s="22" t="inlineStr">
        <is>
          <t>2025 base; 2026-01-31 cutoff</t>
        </is>
      </c>
      <c r="J11" s="22" t="inlineStr"/>
    </row>
    <row r="12">
      <c r="A12" s="17" t="inlineStr">
        <is>
          <t>evidence/raw/population.json</t>
        </is>
      </c>
      <c r="B12" s="17" t="inlineStr">
        <is>
          <t>public archived official</t>
        </is>
      </c>
      <c r="C12" s="17" t="inlineStr">
        <is>
          <t>https://api.worldbank.org/v2/country/DEU;FRA;NLD;POL;CZE;ESP/indicator/SP.POP.TOTL?date=2022:2024&amp;format=json&amp;per_page=1000</t>
        </is>
      </c>
      <c r="D12" s="17" t="inlineStr">
        <is>
          <t>http://127.0.0.1:65178/population.json</t>
        </is>
      </c>
      <c r="E12" s="17" t="inlineStr">
        <is>
          <t>2026-09-27T06:36:40.951815+00:00</t>
        </is>
      </c>
      <c r="F12" s="17" t="inlineStr">
        <is>
          <t>2026-09-27T09:58:46.237271+00:00</t>
        </is>
      </c>
      <c r="G12" s="17" t="inlineStr">
        <is>
          <t>dd4b81e55e236d0ff45efb6ec59d1575cf3792395257ee182953e17d928815b2</t>
        </is>
      </c>
      <c r="H12" s="17" t="inlineStr">
        <is>
          <t>persons</t>
        </is>
      </c>
      <c r="I12" s="17" t="inlineStr">
        <is>
          <t>2022-2024</t>
        </is>
      </c>
      <c r="J12" s="17" t="inlineStr">
        <is>
          <t>2026-07-13</t>
        </is>
      </c>
    </row>
    <row r="13">
      <c r="A13" s="22" t="inlineStr">
        <is>
          <t>evidence/raw/gdp-per-capita.json</t>
        </is>
      </c>
      <c r="B13" s="22" t="inlineStr">
        <is>
          <t>public archived official</t>
        </is>
      </c>
      <c r="C13" s="22" t="inlineStr">
        <is>
          <t>https://api.worldbank.org/v2/country/DEU;FRA;NLD;POL;CZE;ESP/indicator/NY.GDP.PCAP.CD?date=2022:2024&amp;format=json&amp;per_page=1000</t>
        </is>
      </c>
      <c r="D13" s="22" t="inlineStr">
        <is>
          <t>http://127.0.0.1:65178/gdp-per-capita.json</t>
        </is>
      </c>
      <c r="E13" s="22" t="inlineStr">
        <is>
          <t>2026-09-27T06:36:40.951986+00:00</t>
        </is>
      </c>
      <c r="F13" s="22" t="inlineStr">
        <is>
          <t>2026-09-27T09:58:46.235066+00:00</t>
        </is>
      </c>
      <c r="G13" s="22" t="inlineStr">
        <is>
          <t>df654256a8803415e2e2c5864d1a00966cfd3150c069b1b897101748471524da</t>
        </is>
      </c>
      <c r="H13" s="22" t="inlineStr">
        <is>
          <t>current US$/person</t>
        </is>
      </c>
      <c r="I13" s="22" t="inlineStr">
        <is>
          <t>2022-2024</t>
        </is>
      </c>
      <c r="J13" s="22" t="inlineStr">
        <is>
          <t>2026-07-13</t>
        </is>
      </c>
    </row>
    <row r="14">
      <c r="A14" s="17" t="inlineStr">
        <is>
          <t>evidence/raw/ecb-history.zip</t>
        </is>
      </c>
      <c r="B14" s="17" t="inlineStr">
        <is>
          <t>public archived official</t>
        </is>
      </c>
      <c r="C14" s="17" t="inlineStr">
        <is>
          <t>https://www.ecb.europa.eu/stats/eurofxref/eurofxref-hist.zip</t>
        </is>
      </c>
      <c r="D14" s="17" t="inlineStr">
        <is>
          <t>http://127.0.0.1:65178/ecb-history.zip</t>
        </is>
      </c>
      <c r="E14" s="17" t="inlineStr">
        <is>
          <t>2026-09-27T06:36:40.952057+00:00</t>
        </is>
      </c>
      <c r="F14" s="17" t="inlineStr">
        <is>
          <t>2026-09-27T09:58:46.234601+00:00</t>
        </is>
      </c>
      <c r="G14" s="17" t="inlineStr">
        <is>
          <t>dfe9ab070c0679d42a174981e07b240131d2db19d20108a5d0e4653d9f61fc9f</t>
        </is>
      </c>
      <c r="H14" s="17" t="inlineStr">
        <is>
          <t>local currency units/EUR</t>
        </is>
      </c>
      <c r="I14" s="17" t="inlineStr">
        <is>
          <t>through 2026-09-25</t>
        </is>
      </c>
      <c r="J14" s="17" t="inlineStr"/>
    </row>
    <row r="15">
      <c r="A15" s="22" t="inlineStr">
        <is>
          <t>evidence/raw/ecb-history.csv</t>
        </is>
      </c>
      <c r="B15" s="22" t="inlineStr">
        <is>
          <t>public official archive, extracted CSV</t>
        </is>
      </c>
      <c r="C15" s="22" t="inlineStr">
        <is>
          <t>https://www.ecb.europa.eu/stats/eurofxref/eurofxref-hist.zip</t>
        </is>
      </c>
      <c r="D15" s="22" t="inlineStr">
        <is>
          <t>http://127.0.0.1:65178/ecb-history.csv</t>
        </is>
      </c>
      <c r="E15" s="22" t="inlineStr">
        <is>
          <t>2026-09-27T06:36:40.952057+00:00</t>
        </is>
      </c>
      <c r="F15" s="22" t="inlineStr">
        <is>
          <t>2026-09-27T09:58:46.233706+00:00</t>
        </is>
      </c>
      <c r="G15" s="22" t="inlineStr">
        <is>
          <t>e8136f072d575cb891cb58718fe31602ca2d4feccee67f035106393ed1c4bdbb</t>
        </is>
      </c>
      <c r="H15" s="22" t="inlineStr">
        <is>
          <t>local currency units/EUR</t>
        </is>
      </c>
      <c r="I15" s="22" t="inlineStr">
        <is>
          <t>through 2026-09-25</t>
        </is>
      </c>
      <c r="J15" s="22" t="inlineStr"/>
    </row>
    <row r="16">
      <c r="A16" s="17" t="inlineStr">
        <is>
          <t>evidence/raw/source-register.json</t>
        </is>
      </c>
      <c r="B16" s="17" t="inlineStr">
        <is>
          <t>source-room provenance metadata</t>
        </is>
      </c>
      <c r="C16" s="17" t="inlineStr"/>
      <c r="D16" s="17" t="inlineStr">
        <is>
          <t>http://127.0.0.1:65178/source-register.json</t>
        </is>
      </c>
      <c r="E16" s="17" t="inlineStr"/>
      <c r="F16" s="17" t="inlineStr">
        <is>
          <t>2026-09-27T09:58:46.238328+00:00</t>
        </is>
      </c>
      <c r="G16" s="17" t="inlineStr">
        <is>
          <t>c38ffd64f6303924065e87b305e1cb0a6dd8312633d3eb703fb8492a8b30de3b</t>
        </is>
      </c>
      <c r="H16" s="17" t="inlineStr">
        <is>
          <t>metadata</t>
        </is>
      </c>
      <c r="I16" s="17" t="inlineStr">
        <is>
          <t>2026-09-27 archive</t>
        </is>
      </c>
      <c r="J16" s="17" t="inlineStr"/>
    </row>
  </sheetData>
  <autoFilter ref="A3:J16"/>
  <mergeCells count="1">
    <mergeCell ref="A1:J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2026-09-27T10:27:07Z</dcterms:created>
  <dcterms:modified xmlns:dcterms="http://purl.org/dc/terms/" xmlns:xsi="http://www.w3.org/2001/XMLSchema-instance" xsi:type="dcterms:W3CDTF">2026-09-27T10:27:07Z</dcterms:modified>
</cp:coreProperties>
</file>
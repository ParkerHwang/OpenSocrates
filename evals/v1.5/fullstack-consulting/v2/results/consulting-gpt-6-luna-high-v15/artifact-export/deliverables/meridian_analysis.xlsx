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Market context" sheetId="4" state="visible" r:id="rId4"/>
    <sheet xmlns:r="http://schemas.openxmlformats.org/officeDocument/2006/relationships" name="FX monthly" sheetId="5" state="visible" r:id="rId5"/>
    <sheet xmlns:r="http://schemas.openxmlformats.org/officeDocument/2006/relationships" name="Hub scenarios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Decision chart" sheetId="8" state="visible" r:id="rId8"/>
  </sheets>
  <definedNames>
    <definedName name="_xlnm._FilterDatabase" localSheetId="1" hidden="1">'Countries'!$A$3:$K$9</definedName>
    <definedName name="_xlnm._FilterDatabase" localSheetId="2" hidden="1">'Monthly'!$A$3:$L$75</definedName>
    <definedName name="_xlnm._FilterDatabase" localSheetId="3" hidden="1">'Market context'!$A$3:$D$21</definedName>
    <definedName name="_xlnm._FilterDatabase" localSheetId="4" hidden="1">'FX monthly'!$A$3:$C$27</definedName>
    <definedName name="_xlnm._FilterDatabase" localSheetId="5" hidden="1">'Hub scenarios'!$A$3:$F$71</definedName>
    <definedName name="_xlnm._FilterDatabase" localSheetId="6" hidden="1">'Quality'!$A$3:$B$31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6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vs stress annual increment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'Decision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chart'!$A$2:$A$8</f>
            </numRef>
          </cat>
          <val>
            <numRef>
              <f>'Decision chart'!$B$2:$B$8</f>
            </numRef>
          </val>
        </ser>
        <ser>
          <idx val="1"/>
          <order val="1"/>
          <tx>
            <strRef>
              <f>'Decision 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chart'!$A$2:$A$8</f>
            </numRef>
          </cat>
          <val>
            <numRef>
              <f>'Decision chart'!$C$2:$C$8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5" customHeight="1">
      <c r="A1" s="1" t="inlineStr">
        <is>
          <t>Meridian Parts | Board decision workbook</t>
        </is>
      </c>
    </row>
    <row r="2" ht="25" customHeight="1">
      <c r="A2" s="1" t="inlineStr">
        <is>
          <t>Recommendation: stage Netherlands + Spain; capex after 90-day validation.</t>
        </is>
      </c>
    </row>
    <row r="3" ht="25" customHeight="1">
      <c r="A3" s="1" t="inlineStr">
        <is>
          <t>Base EUR268,160/year; stress EUR208,859; capex EUR270,000; six FTE.</t>
        </is>
      </c>
    </row>
    <row r="4" ht="25" customHeight="1">
      <c r="A4" s="1" t="inlineStr">
        <is>
          <t>Czechia + Spain: base EUR284,389; stress EUR12,115; capex EUR225,000; five FTE.</t>
        </is>
      </c>
    </row>
    <row r="5" ht="25" customHeight="1">
      <c r="A5" s="1" t="inlineStr">
        <is>
          <t>Hard limits: EUR450,000; seven FTE; two hubs; defer allowed.</t>
        </is>
      </c>
    </row>
    <row r="6" ht="25" customHeight="1">
      <c r="A6" s="1" t="inlineStr">
        <is>
          <t>Client operational data are synthetic; macro/FX are archived official observations.</t>
        </is>
      </c>
    </row>
    <row r="7" ht="25" customHeight="1">
      <c r="A7" s="1" t="inlineStr">
        <is>
          <t>Source register: evidence/source-register.json. Reproduce with python3 analysis/analyze.py then python3 analysis/build_outputs.py.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4" customWidth="1" min="7" max="7"/>
    <col width="17" customWidth="1" min="8" max="8"/>
    <col width="18" customWidth="1" min="9" max="9"/>
    <col width="16" customWidth="1" min="10" max="10"/>
    <col width="13" customWidth="1" min="11" max="11"/>
  </cols>
  <sheetData>
    <row r="1">
      <c r="A1" s="2" t="inlineStr">
        <is>
          <t>Countries</t>
        </is>
      </c>
    </row>
    <row r="2">
      <c r="A2" t="inlineStr">
        <is>
          <t>2025 totals; additive metrics reconcile to months; margin=contribution/net sales.</t>
        </is>
      </c>
    </row>
    <row r="3">
      <c r="A3" s="3" t="inlineStr">
        <is>
          <t>country</t>
        </is>
      </c>
      <c r="B3" s="3" t="inlineStr">
        <is>
          <t>shipped_orders</t>
        </is>
      </c>
      <c r="C3" s="3" t="inlineStr">
        <is>
          <t>shipped_units</t>
        </is>
      </c>
      <c r="D3" s="3" t="inlineStr">
        <is>
          <t>gross_sales_eur</t>
        </is>
      </c>
      <c r="E3" s="3" t="inlineStr">
        <is>
          <t>refunds_eur</t>
        </is>
      </c>
      <c r="F3" s="3" t="inlineStr">
        <is>
          <t>net_sales_eur</t>
        </is>
      </c>
      <c r="G3" s="3" t="inlineStr">
        <is>
          <t>net_cogs_eur</t>
        </is>
      </c>
      <c r="H3" s="3" t="inlineStr">
        <is>
          <t>fulfillment_eur</t>
        </is>
      </c>
      <c r="I3" s="3" t="inlineStr">
        <is>
          <t>contribution_eur</t>
        </is>
      </c>
      <c r="J3" s="3" t="inlineStr">
        <is>
          <t>returned_units</t>
        </is>
      </c>
      <c r="K3" s="3" t="inlineStr">
        <is>
          <t>margin</t>
        </is>
      </c>
    </row>
    <row r="4">
      <c r="A4" t="inlineStr">
        <is>
          <t>DEU</t>
        </is>
      </c>
      <c r="B4" t="n">
        <v>209</v>
      </c>
      <c r="C4" t="n">
        <v>12153</v>
      </c>
      <c r="D4" t="n">
        <v>631244.76</v>
      </c>
      <c r="E4" t="n">
        <v>5453</v>
      </c>
      <c r="F4" t="n">
        <v>625791.76</v>
      </c>
      <c r="G4" t="n">
        <v>353186</v>
      </c>
      <c r="H4" t="n">
        <v>13445.7</v>
      </c>
      <c r="I4" t="n">
        <v>259160.06</v>
      </c>
      <c r="J4" t="n">
        <v>73</v>
      </c>
      <c r="K4" t="n">
        <v>0.41413147</v>
      </c>
    </row>
    <row r="5">
      <c r="A5" t="inlineStr">
        <is>
          <t>FRA</t>
        </is>
      </c>
      <c r="B5" t="n">
        <v>209</v>
      </c>
      <c r="C5" t="n">
        <v>11880</v>
      </c>
      <c r="D5" t="n">
        <v>640929.9399999999</v>
      </c>
      <c r="E5" t="n">
        <v>8699.040000000001</v>
      </c>
      <c r="F5" t="n">
        <v>632230.9</v>
      </c>
      <c r="G5" t="n">
        <v>344166.5</v>
      </c>
      <c r="H5" t="n">
        <v>14506.8</v>
      </c>
      <c r="I5" t="n">
        <v>273557.6</v>
      </c>
      <c r="J5" t="n">
        <v>144</v>
      </c>
      <c r="K5" t="n">
        <v>0.43268622</v>
      </c>
    </row>
    <row r="6">
      <c r="A6" t="inlineStr">
        <is>
          <t>NLD</t>
        </is>
      </c>
      <c r="B6" t="n">
        <v>209</v>
      </c>
      <c r="C6" t="n">
        <v>12576</v>
      </c>
      <c r="D6" t="n">
        <v>709108.84</v>
      </c>
      <c r="E6" t="n">
        <v>11376</v>
      </c>
      <c r="F6" t="n">
        <v>697732.84</v>
      </c>
      <c r="G6" t="n">
        <v>368551</v>
      </c>
      <c r="H6" t="n">
        <v>16593.12</v>
      </c>
      <c r="I6" t="n">
        <v>312588.72</v>
      </c>
      <c r="J6" t="n">
        <v>144</v>
      </c>
      <c r="K6" t="n">
        <v>0.44800632</v>
      </c>
    </row>
    <row r="7">
      <c r="A7" t="inlineStr">
        <is>
          <t>POL</t>
        </is>
      </c>
      <c r="B7" t="n">
        <v>209</v>
      </c>
      <c r="C7" t="n">
        <v>13163</v>
      </c>
      <c r="D7" t="n">
        <v>776507.79</v>
      </c>
      <c r="E7" t="n">
        <v>14617.92</v>
      </c>
      <c r="F7" t="n">
        <v>761889.87</v>
      </c>
      <c r="G7" t="n">
        <v>389946.5</v>
      </c>
      <c r="H7" t="n">
        <v>18698.49</v>
      </c>
      <c r="I7" t="n">
        <v>353244.88</v>
      </c>
      <c r="J7" t="n">
        <v>180</v>
      </c>
      <c r="K7" t="n">
        <v>0.46364297</v>
      </c>
    </row>
    <row r="8">
      <c r="A8" t="inlineStr">
        <is>
          <t>CZE</t>
        </is>
      </c>
      <c r="B8" t="n">
        <v>209</v>
      </c>
      <c r="C8" t="n">
        <v>13733</v>
      </c>
      <c r="D8" t="n">
        <v>834572.08</v>
      </c>
      <c r="E8" t="n">
        <v>19264.61</v>
      </c>
      <c r="F8" t="n">
        <v>815307.47</v>
      </c>
      <c r="G8" t="n">
        <v>400605</v>
      </c>
      <c r="H8" t="n">
        <v>20910.22</v>
      </c>
      <c r="I8" t="n">
        <v>393792.25</v>
      </c>
      <c r="J8" t="n">
        <v>288</v>
      </c>
      <c r="K8" t="n">
        <v>0.48299846</v>
      </c>
    </row>
    <row r="9">
      <c r="A9" t="inlineStr">
        <is>
          <t>ESP</t>
        </is>
      </c>
      <c r="B9" t="n">
        <v>209</v>
      </c>
      <c r="C9" t="n">
        <v>13931</v>
      </c>
      <c r="D9" t="n">
        <v>872258.92</v>
      </c>
      <c r="E9" t="n">
        <v>21420</v>
      </c>
      <c r="F9" t="n">
        <v>850838.92</v>
      </c>
      <c r="G9" t="n">
        <v>409797.5</v>
      </c>
      <c r="H9" t="n">
        <v>22707.95</v>
      </c>
      <c r="I9" t="n">
        <v>418333.47</v>
      </c>
      <c r="J9" t="n">
        <v>252</v>
      </c>
      <c r="K9" t="n">
        <v>0.49167176</v>
      </c>
    </row>
  </sheetData>
  <autoFilter ref="A3:K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5" customWidth="1" min="4" max="4"/>
    <col width="17" customWidth="1" min="5" max="5"/>
    <col width="13" customWidth="1" min="6" max="6"/>
    <col width="15" customWidth="1" min="7" max="7"/>
    <col width="14" customWidth="1" min="8" max="8"/>
    <col width="17" customWidth="1" min="9" max="9"/>
    <col width="18" customWidth="1" min="10" max="10"/>
    <col width="16" customWidth="1" min="11" max="11"/>
    <col width="13" customWidth="1" min="12" max="12"/>
  </cols>
  <sheetData>
    <row r="1">
      <c r="A1" s="2" t="inlineStr">
        <is>
          <t>Monthly</t>
        </is>
      </c>
    </row>
    <row r="2">
      <c r="A2" t="inlineStr">
        <is>
          <t>EUR; original shipment month FX applies to gross sales and refunds.</t>
        </is>
      </c>
    </row>
    <row r="3">
      <c r="A3" s="3" t="inlineStr">
        <is>
          <t>country</t>
        </is>
      </c>
      <c r="B3" s="3" t="inlineStr">
        <is>
          <t>month</t>
        </is>
      </c>
      <c r="C3" s="3" t="inlineStr">
        <is>
          <t>shipped_orders</t>
        </is>
      </c>
      <c r="D3" s="3" t="inlineStr">
        <is>
          <t>shipped_units</t>
        </is>
      </c>
      <c r="E3" s="3" t="inlineStr">
        <is>
          <t>gross_sales_eur</t>
        </is>
      </c>
      <c r="F3" s="3" t="inlineStr">
        <is>
          <t>refunds_eur</t>
        </is>
      </c>
      <c r="G3" s="3" t="inlineStr">
        <is>
          <t>net_sales_eur</t>
        </is>
      </c>
      <c r="H3" s="3" t="inlineStr">
        <is>
          <t>net_cogs_eur</t>
        </is>
      </c>
      <c r="I3" s="3" t="inlineStr">
        <is>
          <t>fulfillment_eur</t>
        </is>
      </c>
      <c r="J3" s="3" t="inlineStr">
        <is>
          <t>contribution_eur</t>
        </is>
      </c>
      <c r="K3" s="3" t="inlineStr">
        <is>
          <t>returned_units</t>
        </is>
      </c>
      <c r="L3" s="3" t="inlineStr">
        <is>
          <t>margin</t>
        </is>
      </c>
    </row>
    <row r="4">
      <c r="A4" t="inlineStr">
        <is>
          <t>DEU</t>
        </is>
      </c>
      <c r="B4" t="inlineStr">
        <is>
          <t>2025-01</t>
        </is>
      </c>
      <c r="C4" t="n">
        <v>18</v>
      </c>
      <c r="D4" t="n">
        <v>962</v>
      </c>
      <c r="E4" t="n">
        <v>48962.64</v>
      </c>
      <c r="F4" t="n">
        <v>449</v>
      </c>
      <c r="G4" t="n">
        <v>48513.64</v>
      </c>
      <c r="H4" t="n">
        <v>26373</v>
      </c>
      <c r="I4" t="n">
        <v>1081.8</v>
      </c>
      <c r="J4" t="n">
        <v>21058.84</v>
      </c>
      <c r="K4" t="n">
        <v>6</v>
      </c>
      <c r="L4" t="n">
        <v>0.43408081</v>
      </c>
    </row>
    <row r="5">
      <c r="A5" t="inlineStr">
        <is>
          <t>DEU</t>
        </is>
      </c>
      <c r="B5" t="inlineStr">
        <is>
          <t>2025-02</t>
        </is>
      </c>
      <c r="C5" t="n">
        <v>18</v>
      </c>
      <c r="D5" t="n">
        <v>892</v>
      </c>
      <c r="E5" t="n">
        <v>44273.52</v>
      </c>
      <c r="F5" t="n">
        <v>450</v>
      </c>
      <c r="G5" t="n">
        <v>43823.52</v>
      </c>
      <c r="H5" t="n">
        <v>23462.5</v>
      </c>
      <c r="I5" t="n">
        <v>1018.8</v>
      </c>
      <c r="J5" t="n">
        <v>19342.22</v>
      </c>
      <c r="K5" t="n">
        <v>6</v>
      </c>
      <c r="L5" t="n">
        <v>0.44136619</v>
      </c>
    </row>
    <row r="6">
      <c r="A6" t="inlineStr">
        <is>
          <t>DEU</t>
        </is>
      </c>
      <c r="B6" t="inlineStr">
        <is>
          <t>2025-03</t>
        </is>
      </c>
      <c r="C6" t="n">
        <v>17</v>
      </c>
      <c r="D6" t="n">
        <v>864</v>
      </c>
      <c r="E6" t="n">
        <v>39088.56</v>
      </c>
      <c r="F6" t="n">
        <v>450</v>
      </c>
      <c r="G6" t="n">
        <v>38638.56</v>
      </c>
      <c r="H6" t="n">
        <v>22211</v>
      </c>
      <c r="I6" t="n">
        <v>981.6</v>
      </c>
      <c r="J6" t="n">
        <v>15445.96</v>
      </c>
      <c r="K6" t="n">
        <v>6</v>
      </c>
      <c r="L6" t="n">
        <v>0.39975506</v>
      </c>
    </row>
    <row r="7">
      <c r="A7" t="inlineStr">
        <is>
          <t>DEU</t>
        </is>
      </c>
      <c r="B7" t="inlineStr">
        <is>
          <t>2025-04</t>
        </is>
      </c>
      <c r="C7" t="n">
        <v>17</v>
      </c>
      <c r="D7" t="n">
        <v>882</v>
      </c>
      <c r="E7" t="n">
        <v>45414.48</v>
      </c>
      <c r="F7" t="n">
        <v>450</v>
      </c>
      <c r="G7" t="n">
        <v>44964.48</v>
      </c>
      <c r="H7" t="n">
        <v>24142</v>
      </c>
      <c r="I7" t="n">
        <v>997.8</v>
      </c>
      <c r="J7" t="n">
        <v>19824.68</v>
      </c>
      <c r="K7" t="n">
        <v>6</v>
      </c>
      <c r="L7" t="n">
        <v>0.44089646</v>
      </c>
    </row>
    <row r="8">
      <c r="A8" t="inlineStr">
        <is>
          <t>DEU</t>
        </is>
      </c>
      <c r="B8" t="inlineStr">
        <is>
          <t>2025-05</t>
        </is>
      </c>
      <c r="C8" t="n">
        <v>18</v>
      </c>
      <c r="D8" t="n">
        <v>1159</v>
      </c>
      <c r="E8" t="n">
        <v>65858.88</v>
      </c>
      <c r="F8" t="n">
        <v>450</v>
      </c>
      <c r="G8" t="n">
        <v>65408.88</v>
      </c>
      <c r="H8" t="n">
        <v>36475</v>
      </c>
      <c r="I8" t="n">
        <v>1259.1</v>
      </c>
      <c r="J8" t="n">
        <v>27674.78</v>
      </c>
      <c r="K8" t="n">
        <v>6</v>
      </c>
      <c r="L8" t="n">
        <v>0.42310432</v>
      </c>
    </row>
    <row r="9">
      <c r="A9" t="inlineStr">
        <is>
          <t>DEU</t>
        </is>
      </c>
      <c r="B9" t="inlineStr">
        <is>
          <t>2025-06</t>
        </is>
      </c>
      <c r="C9" t="n">
        <v>17</v>
      </c>
      <c r="D9" t="n">
        <v>1046</v>
      </c>
      <c r="E9" t="n">
        <v>51222.9</v>
      </c>
      <c r="F9" t="n">
        <v>450</v>
      </c>
      <c r="G9" t="n">
        <v>50772.9</v>
      </c>
      <c r="H9" t="n">
        <v>27542.5</v>
      </c>
      <c r="I9" t="n">
        <v>1145.4</v>
      </c>
      <c r="J9" t="n">
        <v>22085</v>
      </c>
      <c r="K9" t="n">
        <v>6</v>
      </c>
      <c r="L9" t="n">
        <v>0.43497614</v>
      </c>
    </row>
    <row r="10">
      <c r="A10" t="inlineStr">
        <is>
          <t>DEU</t>
        </is>
      </c>
      <c r="B10" t="inlineStr">
        <is>
          <t>2025-07</t>
        </is>
      </c>
      <c r="C10" t="n">
        <v>18</v>
      </c>
      <c r="D10" t="n">
        <v>1236</v>
      </c>
      <c r="E10" t="n">
        <v>65105.4</v>
      </c>
      <c r="F10" t="n">
        <v>450</v>
      </c>
      <c r="G10" t="n">
        <v>64655.4</v>
      </c>
      <c r="H10" t="n">
        <v>36969</v>
      </c>
      <c r="I10" t="n">
        <v>1328.4</v>
      </c>
      <c r="J10" t="n">
        <v>26358</v>
      </c>
      <c r="K10" t="n">
        <v>6</v>
      </c>
      <c r="L10" t="n">
        <v>0.40766897</v>
      </c>
    </row>
    <row r="11">
      <c r="A11" t="inlineStr">
        <is>
          <t>DEU</t>
        </is>
      </c>
      <c r="B11" t="inlineStr">
        <is>
          <t>2025-08</t>
        </is>
      </c>
      <c r="C11" t="n">
        <v>17</v>
      </c>
      <c r="D11" t="n">
        <v>1145</v>
      </c>
      <c r="E11" t="n">
        <v>60928.2</v>
      </c>
      <c r="F11" t="n">
        <v>450</v>
      </c>
      <c r="G11" t="n">
        <v>60478.2</v>
      </c>
      <c r="H11" t="n">
        <v>34740.5</v>
      </c>
      <c r="I11" t="n">
        <v>1234.5</v>
      </c>
      <c r="J11" t="n">
        <v>24503.2</v>
      </c>
      <c r="K11" t="n">
        <v>6</v>
      </c>
      <c r="L11" t="n">
        <v>0.40515756</v>
      </c>
    </row>
    <row r="12">
      <c r="A12" t="inlineStr">
        <is>
          <t>DEU</t>
        </is>
      </c>
      <c r="B12" t="inlineStr">
        <is>
          <t>2025-09</t>
        </is>
      </c>
      <c r="C12" t="n">
        <v>17</v>
      </c>
      <c r="D12" t="n">
        <v>1067</v>
      </c>
      <c r="E12" t="n">
        <v>57896.64</v>
      </c>
      <c r="F12" t="n">
        <v>450</v>
      </c>
      <c r="G12" t="n">
        <v>57446.64</v>
      </c>
      <c r="H12" t="n">
        <v>34409</v>
      </c>
      <c r="I12" t="n">
        <v>1164.3</v>
      </c>
      <c r="J12" t="n">
        <v>21873.34</v>
      </c>
      <c r="K12" t="n">
        <v>6</v>
      </c>
      <c r="L12" t="n">
        <v>0.38075926</v>
      </c>
    </row>
    <row r="13">
      <c r="A13" t="inlineStr">
        <is>
          <t>DEU</t>
        </is>
      </c>
      <c r="B13" t="inlineStr">
        <is>
          <t>2025-10</t>
        </is>
      </c>
      <c r="C13" t="n">
        <v>18</v>
      </c>
      <c r="D13" t="n">
        <v>1124</v>
      </c>
      <c r="E13" t="n">
        <v>57554.22</v>
      </c>
      <c r="F13" t="n">
        <v>450</v>
      </c>
      <c r="G13" t="n">
        <v>57104.22</v>
      </c>
      <c r="H13" t="n">
        <v>32763.5</v>
      </c>
      <c r="I13" t="n">
        <v>1227.6</v>
      </c>
      <c r="J13" t="n">
        <v>23113.12</v>
      </c>
      <c r="K13" t="n">
        <v>6</v>
      </c>
      <c r="L13" t="n">
        <v>0.40475327</v>
      </c>
    </row>
    <row r="14">
      <c r="A14" t="inlineStr">
        <is>
          <t>DEU</t>
        </is>
      </c>
      <c r="B14" t="inlineStr">
        <is>
          <t>2025-11</t>
        </is>
      </c>
      <c r="C14" t="n">
        <v>18</v>
      </c>
      <c r="D14" t="n">
        <v>921</v>
      </c>
      <c r="E14" t="n">
        <v>48771.06</v>
      </c>
      <c r="F14" t="n">
        <v>450</v>
      </c>
      <c r="G14" t="n">
        <v>48321.06</v>
      </c>
      <c r="H14" t="n">
        <v>27712.5</v>
      </c>
      <c r="I14" t="n">
        <v>1044.9</v>
      </c>
      <c r="J14" t="n">
        <v>19563.66</v>
      </c>
      <c r="K14" t="n">
        <v>6</v>
      </c>
      <c r="L14" t="n">
        <v>0.40486819</v>
      </c>
    </row>
    <row r="15">
      <c r="A15" t="inlineStr">
        <is>
          <t>DEU</t>
        </is>
      </c>
      <c r="B15" t="inlineStr">
        <is>
          <t>2025-12</t>
        </is>
      </c>
      <c r="C15" t="n">
        <v>16</v>
      </c>
      <c r="D15" t="n">
        <v>855</v>
      </c>
      <c r="E15" t="n">
        <v>46168.26</v>
      </c>
      <c r="F15" t="n">
        <v>504</v>
      </c>
      <c r="G15" t="n">
        <v>45664.26</v>
      </c>
      <c r="H15" t="n">
        <v>26385.5</v>
      </c>
      <c r="I15" t="n">
        <v>961.5</v>
      </c>
      <c r="J15" t="n">
        <v>18317.26</v>
      </c>
      <c r="K15" t="n">
        <v>7</v>
      </c>
      <c r="L15" t="n">
        <v>0.40112902</v>
      </c>
    </row>
    <row r="16">
      <c r="A16" t="inlineStr">
        <is>
          <t>FRA</t>
        </is>
      </c>
      <c r="B16" t="inlineStr">
        <is>
          <t>2025-01</t>
        </is>
      </c>
      <c r="C16" t="n">
        <v>18</v>
      </c>
      <c r="D16" t="n">
        <v>916</v>
      </c>
      <c r="E16" t="n">
        <v>51112.88</v>
      </c>
      <c r="F16" t="n">
        <v>724.92</v>
      </c>
      <c r="G16" t="n">
        <v>50387.96</v>
      </c>
      <c r="H16" t="n">
        <v>26508</v>
      </c>
      <c r="I16" t="n">
        <v>1141.16</v>
      </c>
      <c r="J16" t="n">
        <v>22738.8</v>
      </c>
      <c r="K16" t="n">
        <v>12</v>
      </c>
      <c r="L16" t="n">
        <v>0.45127447</v>
      </c>
    </row>
    <row r="17">
      <c r="A17" t="inlineStr">
        <is>
          <t>FRA</t>
        </is>
      </c>
      <c r="B17" t="inlineStr">
        <is>
          <t>2025-02</t>
        </is>
      </c>
      <c r="C17" t="n">
        <v>18</v>
      </c>
      <c r="D17" t="n">
        <v>1023</v>
      </c>
      <c r="E17" t="n">
        <v>55703.76</v>
      </c>
      <c r="F17" t="n">
        <v>724.92</v>
      </c>
      <c r="G17" t="n">
        <v>54978.84</v>
      </c>
      <c r="H17" t="n">
        <v>29141</v>
      </c>
      <c r="I17" t="n">
        <v>1249.23</v>
      </c>
      <c r="J17" t="n">
        <v>24588.61</v>
      </c>
      <c r="K17" t="n">
        <v>12</v>
      </c>
      <c r="L17" t="n">
        <v>0.4472377</v>
      </c>
    </row>
    <row r="18">
      <c r="A18" t="inlineStr">
        <is>
          <t>FRA</t>
        </is>
      </c>
      <c r="B18" t="inlineStr">
        <is>
          <t>2025-03</t>
        </is>
      </c>
      <c r="C18" t="n">
        <v>17</v>
      </c>
      <c r="D18" t="n">
        <v>942</v>
      </c>
      <c r="E18" t="n">
        <v>49158.62</v>
      </c>
      <c r="F18" t="n">
        <v>724.92</v>
      </c>
      <c r="G18" t="n">
        <v>48433.7</v>
      </c>
      <c r="H18" t="n">
        <v>26346.5</v>
      </c>
      <c r="I18" t="n">
        <v>1155.42</v>
      </c>
      <c r="J18" t="n">
        <v>20931.78</v>
      </c>
      <c r="K18" t="n">
        <v>12</v>
      </c>
      <c r="L18" t="n">
        <v>0.43217388</v>
      </c>
    </row>
    <row r="19">
      <c r="A19" t="inlineStr">
        <is>
          <t>FRA</t>
        </is>
      </c>
      <c r="B19" t="inlineStr">
        <is>
          <t>2025-04</t>
        </is>
      </c>
      <c r="C19" t="n">
        <v>17</v>
      </c>
      <c r="D19" t="n">
        <v>1050</v>
      </c>
      <c r="E19" t="n">
        <v>55198.92</v>
      </c>
      <c r="F19" t="n">
        <v>724.92</v>
      </c>
      <c r="G19" t="n">
        <v>54474</v>
      </c>
      <c r="H19" t="n">
        <v>28608</v>
      </c>
      <c r="I19" t="n">
        <v>1264.5</v>
      </c>
      <c r="J19" t="n">
        <v>24601.5</v>
      </c>
      <c r="K19" t="n">
        <v>12</v>
      </c>
      <c r="L19" t="n">
        <v>0.45161912</v>
      </c>
    </row>
    <row r="20">
      <c r="A20" t="inlineStr">
        <is>
          <t>FRA</t>
        </is>
      </c>
      <c r="B20" t="inlineStr">
        <is>
          <t>2025-05</t>
        </is>
      </c>
      <c r="C20" t="n">
        <v>18</v>
      </c>
      <c r="D20" t="n">
        <v>977</v>
      </c>
      <c r="E20" t="n">
        <v>53658.64</v>
      </c>
      <c r="F20" t="n">
        <v>724.92</v>
      </c>
      <c r="G20" t="n">
        <v>52933.72</v>
      </c>
      <c r="H20" t="n">
        <v>27989.5</v>
      </c>
      <c r="I20" t="n">
        <v>1202.77</v>
      </c>
      <c r="J20" t="n">
        <v>23741.45</v>
      </c>
      <c r="K20" t="n">
        <v>12</v>
      </c>
      <c r="L20" t="n">
        <v>0.44851278</v>
      </c>
    </row>
    <row r="21">
      <c r="A21" t="inlineStr">
        <is>
          <t>FRA</t>
        </is>
      </c>
      <c r="B21" t="inlineStr">
        <is>
          <t>2025-06</t>
        </is>
      </c>
      <c r="C21" t="n">
        <v>17</v>
      </c>
      <c r="D21" t="n">
        <v>880</v>
      </c>
      <c r="E21" t="n">
        <v>46500.86</v>
      </c>
      <c r="F21" t="n">
        <v>724.92</v>
      </c>
      <c r="G21" t="n">
        <v>45775.94</v>
      </c>
      <c r="H21" t="n">
        <v>24563.5</v>
      </c>
      <c r="I21" t="n">
        <v>1092.8</v>
      </c>
      <c r="J21" t="n">
        <v>20119.64</v>
      </c>
      <c r="K21" t="n">
        <v>12</v>
      </c>
      <c r="L21" t="n">
        <v>0.43952434</v>
      </c>
    </row>
    <row r="22">
      <c r="A22" t="inlineStr">
        <is>
          <t>FRA</t>
        </is>
      </c>
      <c r="B22" t="inlineStr">
        <is>
          <t>2025-07</t>
        </is>
      </c>
      <c r="C22" t="n">
        <v>18</v>
      </c>
      <c r="D22" t="n">
        <v>947</v>
      </c>
      <c r="E22" t="n">
        <v>49908.46</v>
      </c>
      <c r="F22" t="n">
        <v>724.92</v>
      </c>
      <c r="G22" t="n">
        <v>49183.54</v>
      </c>
      <c r="H22" t="n">
        <v>27368.5</v>
      </c>
      <c r="I22" t="n">
        <v>1172.47</v>
      </c>
      <c r="J22" t="n">
        <v>20642.57</v>
      </c>
      <c r="K22" t="n">
        <v>12</v>
      </c>
      <c r="L22" t="n">
        <v>0.41970484</v>
      </c>
    </row>
    <row r="23">
      <c r="A23" t="inlineStr">
        <is>
          <t>FRA</t>
        </is>
      </c>
      <c r="B23" t="inlineStr">
        <is>
          <t>2025-08</t>
        </is>
      </c>
      <c r="C23" t="n">
        <v>17</v>
      </c>
      <c r="D23" t="n">
        <v>989</v>
      </c>
      <c r="E23" t="n">
        <v>55720.84</v>
      </c>
      <c r="F23" t="n">
        <v>724.92</v>
      </c>
      <c r="G23" t="n">
        <v>54995.92</v>
      </c>
      <c r="H23" t="n">
        <v>30433</v>
      </c>
      <c r="I23" t="n">
        <v>1202.89</v>
      </c>
      <c r="J23" t="n">
        <v>23360.03</v>
      </c>
      <c r="K23" t="n">
        <v>12</v>
      </c>
      <c r="L23" t="n">
        <v>0.42475933</v>
      </c>
    </row>
    <row r="24">
      <c r="A24" t="inlineStr">
        <is>
          <t>FRA</t>
        </is>
      </c>
      <c r="B24" t="inlineStr">
        <is>
          <t>2025-09</t>
        </is>
      </c>
      <c r="C24" t="n">
        <v>17</v>
      </c>
      <c r="D24" t="n">
        <v>838</v>
      </c>
      <c r="E24" t="n">
        <v>44859.22</v>
      </c>
      <c r="F24" t="n">
        <v>724.92</v>
      </c>
      <c r="G24" t="n">
        <v>44134.3</v>
      </c>
      <c r="H24" t="n">
        <v>24894</v>
      </c>
      <c r="I24" t="n">
        <v>1050.38</v>
      </c>
      <c r="J24" t="n">
        <v>18189.92</v>
      </c>
      <c r="K24" t="n">
        <v>12</v>
      </c>
      <c r="L24" t="n">
        <v>0.41214928</v>
      </c>
    </row>
    <row r="25">
      <c r="A25" t="inlineStr">
        <is>
          <t>FRA</t>
        </is>
      </c>
      <c r="B25" t="inlineStr">
        <is>
          <t>2025-10</t>
        </is>
      </c>
      <c r="C25" t="n">
        <v>18</v>
      </c>
      <c r="D25" t="n">
        <v>1163</v>
      </c>
      <c r="E25" t="n">
        <v>64158.64</v>
      </c>
      <c r="F25" t="n">
        <v>724.92</v>
      </c>
      <c r="G25" t="n">
        <v>63433.72</v>
      </c>
      <c r="H25" t="n">
        <v>35120.5</v>
      </c>
      <c r="I25" t="n">
        <v>1390.63</v>
      </c>
      <c r="J25" t="n">
        <v>26922.59</v>
      </c>
      <c r="K25" t="n">
        <v>12</v>
      </c>
      <c r="L25" t="n">
        <v>0.4244208</v>
      </c>
    </row>
    <row r="26">
      <c r="A26" t="inlineStr">
        <is>
          <t>FRA</t>
        </is>
      </c>
      <c r="B26" t="inlineStr">
        <is>
          <t>2025-11</t>
        </is>
      </c>
      <c r="C26" t="n">
        <v>18</v>
      </c>
      <c r="D26" t="n">
        <v>1162</v>
      </c>
      <c r="E26" t="n">
        <v>62804</v>
      </c>
      <c r="F26" t="n">
        <v>724.92</v>
      </c>
      <c r="G26" t="n">
        <v>62079.08</v>
      </c>
      <c r="H26" t="n">
        <v>34425</v>
      </c>
      <c r="I26" t="n">
        <v>1389.62</v>
      </c>
      <c r="J26" t="n">
        <v>26264.46</v>
      </c>
      <c r="K26" t="n">
        <v>12</v>
      </c>
      <c r="L26" t="n">
        <v>0.42308069</v>
      </c>
    </row>
    <row r="27">
      <c r="A27" t="inlineStr">
        <is>
          <t>FRA</t>
        </is>
      </c>
      <c r="B27" t="inlineStr">
        <is>
          <t>2025-12</t>
        </is>
      </c>
      <c r="C27" t="n">
        <v>16</v>
      </c>
      <c r="D27" t="n">
        <v>993</v>
      </c>
      <c r="E27" t="n">
        <v>52145.1</v>
      </c>
      <c r="F27" t="n">
        <v>724.92</v>
      </c>
      <c r="G27" t="n">
        <v>51420.18</v>
      </c>
      <c r="H27" t="n">
        <v>28769</v>
      </c>
      <c r="I27" t="n">
        <v>1194.93</v>
      </c>
      <c r="J27" t="n">
        <v>21456.25</v>
      </c>
      <c r="K27" t="n">
        <v>12</v>
      </c>
      <c r="L27" t="n">
        <v>0.41727295</v>
      </c>
    </row>
    <row r="28">
      <c r="A28" t="inlineStr">
        <is>
          <t>NLD</t>
        </is>
      </c>
      <c r="B28" t="inlineStr">
        <is>
          <t>2025-01</t>
        </is>
      </c>
      <c r="C28" t="n">
        <v>18</v>
      </c>
      <c r="D28" t="n">
        <v>1138</v>
      </c>
      <c r="E28" t="n">
        <v>63010.54</v>
      </c>
      <c r="F28" t="n">
        <v>948</v>
      </c>
      <c r="G28" t="n">
        <v>62062.54</v>
      </c>
      <c r="H28" t="n">
        <v>31351</v>
      </c>
      <c r="I28" t="n">
        <v>1490.56</v>
      </c>
      <c r="J28" t="n">
        <v>29220.98</v>
      </c>
      <c r="K28" t="n">
        <v>12</v>
      </c>
      <c r="L28" t="n">
        <v>0.4708312</v>
      </c>
    </row>
    <row r="29">
      <c r="A29" t="inlineStr">
        <is>
          <t>NLD</t>
        </is>
      </c>
      <c r="B29" t="inlineStr">
        <is>
          <t>2025-02</t>
        </is>
      </c>
      <c r="C29" t="n">
        <v>18</v>
      </c>
      <c r="D29" t="n">
        <v>1107</v>
      </c>
      <c r="E29" t="n">
        <v>63270.6</v>
      </c>
      <c r="F29" t="n">
        <v>948</v>
      </c>
      <c r="G29" t="n">
        <v>62322.6</v>
      </c>
      <c r="H29" t="n">
        <v>32243</v>
      </c>
      <c r="I29" t="n">
        <v>1455.84</v>
      </c>
      <c r="J29" t="n">
        <v>28623.76</v>
      </c>
      <c r="K29" t="n">
        <v>12</v>
      </c>
      <c r="L29" t="n">
        <v>0.45928379</v>
      </c>
    </row>
    <row r="30">
      <c r="A30" t="inlineStr">
        <is>
          <t>NLD</t>
        </is>
      </c>
      <c r="B30" t="inlineStr">
        <is>
          <t>2025-03</t>
        </is>
      </c>
      <c r="C30" t="n">
        <v>17</v>
      </c>
      <c r="D30" t="n">
        <v>922</v>
      </c>
      <c r="E30" t="n">
        <v>53048.72</v>
      </c>
      <c r="F30" t="n">
        <v>948</v>
      </c>
      <c r="G30" t="n">
        <v>52100.72</v>
      </c>
      <c r="H30" t="n">
        <v>27348.5</v>
      </c>
      <c r="I30" t="n">
        <v>1236.64</v>
      </c>
      <c r="J30" t="n">
        <v>23515.58</v>
      </c>
      <c r="K30" t="n">
        <v>12</v>
      </c>
      <c r="L30" t="n">
        <v>0.45134847</v>
      </c>
    </row>
    <row r="31">
      <c r="A31" t="inlineStr">
        <is>
          <t>NLD</t>
        </is>
      </c>
      <c r="B31" t="inlineStr">
        <is>
          <t>2025-04</t>
        </is>
      </c>
      <c r="C31" t="n">
        <v>17</v>
      </c>
      <c r="D31" t="n">
        <v>875</v>
      </c>
      <c r="E31" t="n">
        <v>50064.5</v>
      </c>
      <c r="F31" t="n">
        <v>948</v>
      </c>
      <c r="G31" t="n">
        <v>49116.5</v>
      </c>
      <c r="H31" t="n">
        <v>25184</v>
      </c>
      <c r="I31" t="n">
        <v>1184</v>
      </c>
      <c r="J31" t="n">
        <v>22748.5</v>
      </c>
      <c r="K31" t="n">
        <v>12</v>
      </c>
      <c r="L31" t="n">
        <v>0.46315393</v>
      </c>
    </row>
    <row r="32">
      <c r="A32" t="inlineStr">
        <is>
          <t>NLD</t>
        </is>
      </c>
      <c r="B32" t="inlineStr">
        <is>
          <t>2025-05</t>
        </is>
      </c>
      <c r="C32" t="n">
        <v>18</v>
      </c>
      <c r="D32" t="n">
        <v>1043</v>
      </c>
      <c r="E32" t="n">
        <v>59402.18</v>
      </c>
      <c r="F32" t="n">
        <v>948</v>
      </c>
      <c r="G32" t="n">
        <v>58454.18</v>
      </c>
      <c r="H32" t="n">
        <v>29892</v>
      </c>
      <c r="I32" t="n">
        <v>1384.16</v>
      </c>
      <c r="J32" t="n">
        <v>27178.02</v>
      </c>
      <c r="K32" t="n">
        <v>12</v>
      </c>
      <c r="L32" t="n">
        <v>0.46494571</v>
      </c>
    </row>
    <row r="33">
      <c r="A33" t="inlineStr">
        <is>
          <t>NLD</t>
        </is>
      </c>
      <c r="B33" t="inlineStr">
        <is>
          <t>2025-06</t>
        </is>
      </c>
      <c r="C33" t="n">
        <v>17</v>
      </c>
      <c r="D33" t="n">
        <v>1145</v>
      </c>
      <c r="E33" t="n">
        <v>63045.5</v>
      </c>
      <c r="F33" t="n">
        <v>948</v>
      </c>
      <c r="G33" t="n">
        <v>62097.5</v>
      </c>
      <c r="H33" t="n">
        <v>31694</v>
      </c>
      <c r="I33" t="n">
        <v>1486.4</v>
      </c>
      <c r="J33" t="n">
        <v>28917.1</v>
      </c>
      <c r="K33" t="n">
        <v>12</v>
      </c>
      <c r="L33" t="n">
        <v>0.46567253</v>
      </c>
    </row>
    <row r="34">
      <c r="A34" t="inlineStr">
        <is>
          <t>NLD</t>
        </is>
      </c>
      <c r="B34" t="inlineStr">
        <is>
          <t>2025-07</t>
        </is>
      </c>
      <c r="C34" t="n">
        <v>18</v>
      </c>
      <c r="D34" t="n">
        <v>1309</v>
      </c>
      <c r="E34" t="n">
        <v>74804.2</v>
      </c>
      <c r="F34" t="n">
        <v>948</v>
      </c>
      <c r="G34" t="n">
        <v>73856.2</v>
      </c>
      <c r="H34" t="n">
        <v>39859</v>
      </c>
      <c r="I34" t="n">
        <v>1682.08</v>
      </c>
      <c r="J34" t="n">
        <v>32315.12</v>
      </c>
      <c r="K34" t="n">
        <v>12</v>
      </c>
      <c r="L34" t="n">
        <v>0.43754106</v>
      </c>
    </row>
    <row r="35">
      <c r="A35" t="inlineStr">
        <is>
          <t>NLD</t>
        </is>
      </c>
      <c r="B35" t="inlineStr">
        <is>
          <t>2025-08</t>
        </is>
      </c>
      <c r="C35" t="n">
        <v>17</v>
      </c>
      <c r="D35" t="n">
        <v>938</v>
      </c>
      <c r="E35" t="n">
        <v>47562.56</v>
      </c>
      <c r="F35" t="n">
        <v>948</v>
      </c>
      <c r="G35" t="n">
        <v>46614.56</v>
      </c>
      <c r="H35" t="n">
        <v>24822.5</v>
      </c>
      <c r="I35" t="n">
        <v>1254.56</v>
      </c>
      <c r="J35" t="n">
        <v>20537.5</v>
      </c>
      <c r="K35" t="n">
        <v>12</v>
      </c>
      <c r="L35" t="n">
        <v>0.44058123</v>
      </c>
    </row>
    <row r="36">
      <c r="A36" t="inlineStr">
        <is>
          <t>NLD</t>
        </is>
      </c>
      <c r="B36" t="inlineStr">
        <is>
          <t>2025-09</t>
        </is>
      </c>
      <c r="C36" t="n">
        <v>17</v>
      </c>
      <c r="D36" t="n">
        <v>1106</v>
      </c>
      <c r="E36" t="n">
        <v>61093.16</v>
      </c>
      <c r="F36" t="n">
        <v>948</v>
      </c>
      <c r="G36" t="n">
        <v>60145.16</v>
      </c>
      <c r="H36" t="n">
        <v>34131.5</v>
      </c>
      <c r="I36" t="n">
        <v>1442.72</v>
      </c>
      <c r="J36" t="n">
        <v>24570.94</v>
      </c>
      <c r="K36" t="n">
        <v>12</v>
      </c>
      <c r="L36" t="n">
        <v>0.4085273</v>
      </c>
    </row>
    <row r="37">
      <c r="A37" t="inlineStr">
        <is>
          <t>NLD</t>
        </is>
      </c>
      <c r="B37" t="inlineStr">
        <is>
          <t>2025-10</t>
        </is>
      </c>
      <c r="C37" t="n">
        <v>18</v>
      </c>
      <c r="D37" t="n">
        <v>1098</v>
      </c>
      <c r="E37" t="n">
        <v>65305.26</v>
      </c>
      <c r="F37" t="n">
        <v>948</v>
      </c>
      <c r="G37" t="n">
        <v>64357.26</v>
      </c>
      <c r="H37" t="n">
        <v>34416</v>
      </c>
      <c r="I37" t="n">
        <v>1445.76</v>
      </c>
      <c r="J37" t="n">
        <v>28495.5</v>
      </c>
      <c r="K37" t="n">
        <v>12</v>
      </c>
      <c r="L37" t="n">
        <v>0.44277056</v>
      </c>
    </row>
    <row r="38">
      <c r="A38" t="inlineStr">
        <is>
          <t>NLD</t>
        </is>
      </c>
      <c r="B38" t="inlineStr">
        <is>
          <t>2025-11</t>
        </is>
      </c>
      <c r="C38" t="n">
        <v>18</v>
      </c>
      <c r="D38" t="n">
        <v>1046</v>
      </c>
      <c r="E38" t="n">
        <v>61670.96</v>
      </c>
      <c r="F38" t="n">
        <v>948</v>
      </c>
      <c r="G38" t="n">
        <v>60722.96</v>
      </c>
      <c r="H38" t="n">
        <v>32936</v>
      </c>
      <c r="I38" t="n">
        <v>1387.52</v>
      </c>
      <c r="J38" t="n">
        <v>26399.44</v>
      </c>
      <c r="K38" t="n">
        <v>12</v>
      </c>
      <c r="L38" t="n">
        <v>0.43475219</v>
      </c>
    </row>
    <row r="39">
      <c r="A39" t="inlineStr">
        <is>
          <t>NLD</t>
        </is>
      </c>
      <c r="B39" t="inlineStr">
        <is>
          <t>2025-12</t>
        </is>
      </c>
      <c r="C39" t="n">
        <v>16</v>
      </c>
      <c r="D39" t="n">
        <v>849</v>
      </c>
      <c r="E39" t="n">
        <v>46830.66</v>
      </c>
      <c r="F39" t="n">
        <v>948</v>
      </c>
      <c r="G39" t="n">
        <v>45882.66</v>
      </c>
      <c r="H39" t="n">
        <v>24673.5</v>
      </c>
      <c r="I39" t="n">
        <v>1142.88</v>
      </c>
      <c r="J39" t="n">
        <v>20066.28</v>
      </c>
      <c r="K39" t="n">
        <v>12</v>
      </c>
      <c r="L39" t="n">
        <v>0.43733907</v>
      </c>
    </row>
    <row r="40">
      <c r="A40" t="inlineStr">
        <is>
          <t>POL</t>
        </is>
      </c>
      <c r="B40" t="inlineStr">
        <is>
          <t>2025-01</t>
        </is>
      </c>
      <c r="C40" t="n">
        <v>18</v>
      </c>
      <c r="D40" t="n">
        <v>1253</v>
      </c>
      <c r="E40" t="n">
        <v>76064.7</v>
      </c>
      <c r="F40" t="n">
        <v>1215.96</v>
      </c>
      <c r="G40" t="n">
        <v>74848.74000000001</v>
      </c>
      <c r="H40" t="n">
        <v>37023</v>
      </c>
      <c r="I40" t="n">
        <v>1757.19</v>
      </c>
      <c r="J40" t="n">
        <v>36068.55</v>
      </c>
      <c r="K40" t="n">
        <v>15</v>
      </c>
      <c r="L40" t="n">
        <v>0.48188587</v>
      </c>
    </row>
    <row r="41">
      <c r="A41" t="inlineStr">
        <is>
          <t>POL</t>
        </is>
      </c>
      <c r="B41" t="inlineStr">
        <is>
          <t>2025-02</t>
        </is>
      </c>
      <c r="C41" t="n">
        <v>18</v>
      </c>
      <c r="D41" t="n">
        <v>1094</v>
      </c>
      <c r="E41" t="n">
        <v>67048.8</v>
      </c>
      <c r="F41" t="n">
        <v>1237.65</v>
      </c>
      <c r="G41" t="n">
        <v>65811.14999999999</v>
      </c>
      <c r="H41" t="n">
        <v>32346</v>
      </c>
      <c r="I41" t="n">
        <v>1561.62</v>
      </c>
      <c r="J41" t="n">
        <v>31903.53</v>
      </c>
      <c r="K41" t="n">
        <v>15</v>
      </c>
      <c r="L41" t="n">
        <v>0.48477393</v>
      </c>
    </row>
    <row r="42">
      <c r="A42" t="inlineStr">
        <is>
          <t>POL</t>
        </is>
      </c>
      <c r="B42" t="inlineStr">
        <is>
          <t>2025-03</t>
        </is>
      </c>
      <c r="C42" t="n">
        <v>17</v>
      </c>
      <c r="D42" t="n">
        <v>1084</v>
      </c>
      <c r="E42" t="n">
        <v>63110.08</v>
      </c>
      <c r="F42" t="n">
        <v>1234.74</v>
      </c>
      <c r="G42" t="n">
        <v>61875.34</v>
      </c>
      <c r="H42" t="n">
        <v>31711</v>
      </c>
      <c r="I42" t="n">
        <v>1537.32</v>
      </c>
      <c r="J42" t="n">
        <v>28627.02</v>
      </c>
      <c r="K42" t="n">
        <v>15</v>
      </c>
      <c r="L42" t="n">
        <v>0.46265637</v>
      </c>
    </row>
    <row r="43">
      <c r="A43" t="inlineStr">
        <is>
          <t>POL</t>
        </is>
      </c>
      <c r="B43" t="inlineStr">
        <is>
          <t>2025-04</t>
        </is>
      </c>
      <c r="C43" t="n">
        <v>17</v>
      </c>
      <c r="D43" t="n">
        <v>1107</v>
      </c>
      <c r="E43" t="n">
        <v>60875.13</v>
      </c>
      <c r="F43" t="n">
        <v>1210.65</v>
      </c>
      <c r="G43" t="n">
        <v>59664.48</v>
      </c>
      <c r="H43" t="n">
        <v>29198.5</v>
      </c>
      <c r="I43" t="n">
        <v>1565.61</v>
      </c>
      <c r="J43" t="n">
        <v>28900.37</v>
      </c>
      <c r="K43" t="n">
        <v>15</v>
      </c>
      <c r="L43" t="n">
        <v>0.48438149</v>
      </c>
    </row>
    <row r="44">
      <c r="A44" t="inlineStr">
        <is>
          <t>POL</t>
        </is>
      </c>
      <c r="B44" t="inlineStr">
        <is>
          <t>2025-05</t>
        </is>
      </c>
      <c r="C44" t="n">
        <v>18</v>
      </c>
      <c r="D44" t="n">
        <v>1179</v>
      </c>
      <c r="E44" t="n">
        <v>69680.8</v>
      </c>
      <c r="F44" t="n">
        <v>1213.92</v>
      </c>
      <c r="G44" t="n">
        <v>68466.88</v>
      </c>
      <c r="H44" t="n">
        <v>34260</v>
      </c>
      <c r="I44" t="n">
        <v>1666.17</v>
      </c>
      <c r="J44" t="n">
        <v>32540.71</v>
      </c>
      <c r="K44" t="n">
        <v>15</v>
      </c>
      <c r="L44" t="n">
        <v>0.47527666</v>
      </c>
    </row>
    <row r="45">
      <c r="A45" t="inlineStr">
        <is>
          <t>POL</t>
        </is>
      </c>
      <c r="B45" t="inlineStr">
        <is>
          <t>2025-06</t>
        </is>
      </c>
      <c r="C45" t="n">
        <v>17</v>
      </c>
      <c r="D45" t="n">
        <v>996</v>
      </c>
      <c r="E45" t="n">
        <v>59248.42</v>
      </c>
      <c r="F45" t="n">
        <v>1210.5</v>
      </c>
      <c r="G45" t="n">
        <v>58037.92</v>
      </c>
      <c r="H45" t="n">
        <v>29025</v>
      </c>
      <c r="I45" t="n">
        <v>1429.08</v>
      </c>
      <c r="J45" t="n">
        <v>27583.84</v>
      </c>
      <c r="K45" t="n">
        <v>15</v>
      </c>
      <c r="L45" t="n">
        <v>0.47527272</v>
      </c>
    </row>
    <row r="46">
      <c r="A46" t="inlineStr">
        <is>
          <t>POL</t>
        </is>
      </c>
      <c r="B46" t="inlineStr">
        <is>
          <t>2025-07</t>
        </is>
      </c>
      <c r="C46" t="n">
        <v>18</v>
      </c>
      <c r="D46" t="n">
        <v>1047</v>
      </c>
      <c r="E46" t="n">
        <v>62049.71</v>
      </c>
      <c r="F46" t="n">
        <v>1213.83</v>
      </c>
      <c r="G46" t="n">
        <v>60835.88</v>
      </c>
      <c r="H46" t="n">
        <v>31687.5</v>
      </c>
      <c r="I46" t="n">
        <v>1503.81</v>
      </c>
      <c r="J46" t="n">
        <v>27644.57</v>
      </c>
      <c r="K46" t="n">
        <v>15</v>
      </c>
      <c r="L46" t="n">
        <v>0.45441226</v>
      </c>
    </row>
    <row r="47">
      <c r="A47" t="inlineStr">
        <is>
          <t>POL</t>
        </is>
      </c>
      <c r="B47" t="inlineStr">
        <is>
          <t>2025-08</t>
        </is>
      </c>
      <c r="C47" t="n">
        <v>17</v>
      </c>
      <c r="D47" t="n">
        <v>1171</v>
      </c>
      <c r="E47" t="n">
        <v>68449.27</v>
      </c>
      <c r="F47" t="n">
        <v>1211.79</v>
      </c>
      <c r="G47" t="n">
        <v>67237.48</v>
      </c>
      <c r="H47" t="n">
        <v>35092</v>
      </c>
      <c r="I47" t="n">
        <v>1644.33</v>
      </c>
      <c r="J47" t="n">
        <v>30501.15</v>
      </c>
      <c r="K47" t="n">
        <v>15</v>
      </c>
      <c r="L47" t="n">
        <v>0.45363315</v>
      </c>
    </row>
    <row r="48">
      <c r="A48" t="inlineStr">
        <is>
          <t>POL</t>
        </is>
      </c>
      <c r="B48" t="inlineStr">
        <is>
          <t>2025-09</t>
        </is>
      </c>
      <c r="C48" t="n">
        <v>17</v>
      </c>
      <c r="D48" t="n">
        <v>925</v>
      </c>
      <c r="E48" t="n">
        <v>49915.4</v>
      </c>
      <c r="F48" t="n">
        <v>1212.45</v>
      </c>
      <c r="G48" t="n">
        <v>48702.95</v>
      </c>
      <c r="H48" t="n">
        <v>27284.5</v>
      </c>
      <c r="I48" t="n">
        <v>1341.75</v>
      </c>
      <c r="J48" t="n">
        <v>20076.7</v>
      </c>
      <c r="K48" t="n">
        <v>15</v>
      </c>
      <c r="L48" t="n">
        <v>0.4122276</v>
      </c>
    </row>
    <row r="49">
      <c r="A49" t="inlineStr">
        <is>
          <t>POL</t>
        </is>
      </c>
      <c r="B49" t="inlineStr">
        <is>
          <t>2025-10</t>
        </is>
      </c>
      <c r="C49" t="n">
        <v>18</v>
      </c>
      <c r="D49" t="n">
        <v>1184</v>
      </c>
      <c r="E49" t="n">
        <v>69915.22</v>
      </c>
      <c r="F49" t="n">
        <v>1215.36</v>
      </c>
      <c r="G49" t="n">
        <v>68699.86</v>
      </c>
      <c r="H49" t="n">
        <v>35628.5</v>
      </c>
      <c r="I49" t="n">
        <v>1672.32</v>
      </c>
      <c r="J49" t="n">
        <v>31399.04</v>
      </c>
      <c r="K49" t="n">
        <v>15</v>
      </c>
      <c r="L49" t="n">
        <v>0.45704664</v>
      </c>
    </row>
    <row r="50">
      <c r="A50" t="inlineStr">
        <is>
          <t>POL</t>
        </is>
      </c>
      <c r="B50" t="inlineStr">
        <is>
          <t>2025-11</t>
        </is>
      </c>
      <c r="C50" t="n">
        <v>18</v>
      </c>
      <c r="D50" t="n">
        <v>1081</v>
      </c>
      <c r="E50" t="n">
        <v>65560.87</v>
      </c>
      <c r="F50" t="n">
        <v>1218.54</v>
      </c>
      <c r="G50" t="n">
        <v>64342.33</v>
      </c>
      <c r="H50" t="n">
        <v>33745</v>
      </c>
      <c r="I50" t="n">
        <v>1545.63</v>
      </c>
      <c r="J50" t="n">
        <v>29051.7</v>
      </c>
      <c r="K50" t="n">
        <v>15</v>
      </c>
      <c r="L50" t="n">
        <v>0.45151769</v>
      </c>
    </row>
    <row r="51">
      <c r="A51" t="inlineStr">
        <is>
          <t>POL</t>
        </is>
      </c>
      <c r="B51" t="inlineStr">
        <is>
          <t>2025-12</t>
        </is>
      </c>
      <c r="C51" t="n">
        <v>16</v>
      </c>
      <c r="D51" t="n">
        <v>1042</v>
      </c>
      <c r="E51" t="n">
        <v>64589.39</v>
      </c>
      <c r="F51" t="n">
        <v>1222.53</v>
      </c>
      <c r="G51" t="n">
        <v>63366.86</v>
      </c>
      <c r="H51" t="n">
        <v>32945.5</v>
      </c>
      <c r="I51" t="n">
        <v>1473.66</v>
      </c>
      <c r="J51" t="n">
        <v>28947.7</v>
      </c>
      <c r="K51" t="n">
        <v>15</v>
      </c>
      <c r="L51" t="n">
        <v>0.45682712</v>
      </c>
    </row>
    <row r="52">
      <c r="A52" t="inlineStr">
        <is>
          <t>CZE</t>
        </is>
      </c>
      <c r="B52" t="inlineStr">
        <is>
          <t>2025-01</t>
        </is>
      </c>
      <c r="C52" t="n">
        <v>18</v>
      </c>
      <c r="D52" t="n">
        <v>1275</v>
      </c>
      <c r="E52" t="n">
        <v>80923.92</v>
      </c>
      <c r="F52" t="n">
        <v>1575.03</v>
      </c>
      <c r="G52" t="n">
        <v>79348.89</v>
      </c>
      <c r="H52" t="n">
        <v>38637.5</v>
      </c>
      <c r="I52" t="n">
        <v>1924.5</v>
      </c>
      <c r="J52" t="n">
        <v>38786.89</v>
      </c>
      <c r="K52" t="n">
        <v>24</v>
      </c>
      <c r="L52" t="n">
        <v>0.48881453</v>
      </c>
    </row>
    <row r="53">
      <c r="A53" t="inlineStr">
        <is>
          <t>CZE</t>
        </is>
      </c>
      <c r="B53" t="inlineStr">
        <is>
          <t>2025-02</t>
        </is>
      </c>
      <c r="C53" t="n">
        <v>18</v>
      </c>
      <c r="D53" t="n">
        <v>1150</v>
      </c>
      <c r="E53" t="n">
        <v>68815.72</v>
      </c>
      <c r="F53" t="n">
        <v>1580.47</v>
      </c>
      <c r="G53" t="n">
        <v>67235.25</v>
      </c>
      <c r="H53" t="n">
        <v>32466.5</v>
      </c>
      <c r="I53" t="n">
        <v>1757</v>
      </c>
      <c r="J53" t="n">
        <v>33011.75</v>
      </c>
      <c r="K53" t="n">
        <v>24</v>
      </c>
      <c r="L53" t="n">
        <v>0.49098873</v>
      </c>
    </row>
    <row r="54">
      <c r="A54" t="inlineStr">
        <is>
          <t>CZE</t>
        </is>
      </c>
      <c r="B54" t="inlineStr">
        <is>
          <t>2025-03</t>
        </is>
      </c>
      <c r="C54" t="n">
        <v>17</v>
      </c>
      <c r="D54" t="n">
        <v>1203</v>
      </c>
      <c r="E54" t="n">
        <v>69678.77</v>
      </c>
      <c r="F54" t="n">
        <v>1585.22</v>
      </c>
      <c r="G54" t="n">
        <v>68093.55</v>
      </c>
      <c r="H54" t="n">
        <v>33971</v>
      </c>
      <c r="I54" t="n">
        <v>1816.02</v>
      </c>
      <c r="J54" t="n">
        <v>32306.53</v>
      </c>
      <c r="K54" t="n">
        <v>24</v>
      </c>
      <c r="L54" t="n">
        <v>0.47444332</v>
      </c>
    </row>
    <row r="55">
      <c r="A55" t="inlineStr">
        <is>
          <t>CZE</t>
        </is>
      </c>
      <c r="B55" t="inlineStr">
        <is>
          <t>2025-04</t>
        </is>
      </c>
      <c r="C55" t="n">
        <v>17</v>
      </c>
      <c r="D55" t="n">
        <v>968</v>
      </c>
      <c r="E55" t="n">
        <v>54976.29</v>
      </c>
      <c r="F55" t="n">
        <v>1582.85</v>
      </c>
      <c r="G55" t="n">
        <v>53393.44</v>
      </c>
      <c r="H55" t="n">
        <v>25378.5</v>
      </c>
      <c r="I55" t="n">
        <v>1501.12</v>
      </c>
      <c r="J55" t="n">
        <v>26513.82</v>
      </c>
      <c r="K55" t="n">
        <v>24</v>
      </c>
      <c r="L55" t="n">
        <v>0.49657449</v>
      </c>
    </row>
    <row r="56">
      <c r="A56" t="inlineStr">
        <is>
          <t>CZE</t>
        </is>
      </c>
      <c r="B56" t="inlineStr">
        <is>
          <t>2025-05</t>
        </is>
      </c>
      <c r="C56" t="n">
        <v>18</v>
      </c>
      <c r="D56" t="n">
        <v>1167</v>
      </c>
      <c r="E56" t="n">
        <v>74278.85000000001</v>
      </c>
      <c r="F56" t="n">
        <v>1590.21</v>
      </c>
      <c r="G56" t="n">
        <v>72688.64</v>
      </c>
      <c r="H56" t="n">
        <v>34927</v>
      </c>
      <c r="I56" t="n">
        <v>1779.78</v>
      </c>
      <c r="J56" t="n">
        <v>35981.86</v>
      </c>
      <c r="K56" t="n">
        <v>24</v>
      </c>
      <c r="L56" t="n">
        <v>0.49501353</v>
      </c>
    </row>
    <row r="57">
      <c r="A57" t="inlineStr">
        <is>
          <t>CZE</t>
        </is>
      </c>
      <c r="B57" t="inlineStr">
        <is>
          <t>2025-06</t>
        </is>
      </c>
      <c r="C57" t="n">
        <v>17</v>
      </c>
      <c r="D57" t="n">
        <v>1087</v>
      </c>
      <c r="E57" t="n">
        <v>62183.71</v>
      </c>
      <c r="F57" t="n">
        <v>1597.82</v>
      </c>
      <c r="G57" t="n">
        <v>60585.89</v>
      </c>
      <c r="H57" t="n">
        <v>28600</v>
      </c>
      <c r="I57" t="n">
        <v>1660.58</v>
      </c>
      <c r="J57" t="n">
        <v>30325.31</v>
      </c>
      <c r="K57" t="n">
        <v>24</v>
      </c>
      <c r="L57" t="n">
        <v>0.5005342</v>
      </c>
    </row>
    <row r="58">
      <c r="A58" t="inlineStr">
        <is>
          <t>CZE</t>
        </is>
      </c>
      <c r="B58" t="inlineStr">
        <is>
          <t>2025-07</t>
        </is>
      </c>
      <c r="C58" t="n">
        <v>18</v>
      </c>
      <c r="D58" t="n">
        <v>1060</v>
      </c>
      <c r="E58" t="n">
        <v>62273.5</v>
      </c>
      <c r="F58" t="n">
        <v>1609.48</v>
      </c>
      <c r="G58" t="n">
        <v>60664.02</v>
      </c>
      <c r="H58" t="n">
        <v>30001</v>
      </c>
      <c r="I58" t="n">
        <v>1636.4</v>
      </c>
      <c r="J58" t="n">
        <v>29026.62</v>
      </c>
      <c r="K58" t="n">
        <v>24</v>
      </c>
      <c r="L58" t="n">
        <v>0.47848164</v>
      </c>
    </row>
    <row r="59">
      <c r="A59" t="inlineStr">
        <is>
          <t>CZE</t>
        </is>
      </c>
      <c r="B59" t="inlineStr">
        <is>
          <t>2025-08</t>
        </is>
      </c>
      <c r="C59" t="n">
        <v>17</v>
      </c>
      <c r="D59" t="n">
        <v>1153</v>
      </c>
      <c r="E59" t="n">
        <v>71200.34</v>
      </c>
      <c r="F59" t="n">
        <v>1616.58</v>
      </c>
      <c r="G59" t="n">
        <v>69583.75999999999</v>
      </c>
      <c r="H59" t="n">
        <v>34345</v>
      </c>
      <c r="I59" t="n">
        <v>1749.02</v>
      </c>
      <c r="J59" t="n">
        <v>33489.74</v>
      </c>
      <c r="K59" t="n">
        <v>24</v>
      </c>
      <c r="L59" t="n">
        <v>0.48128673</v>
      </c>
    </row>
    <row r="60">
      <c r="A60" t="inlineStr">
        <is>
          <t>CZE</t>
        </is>
      </c>
      <c r="B60" t="inlineStr">
        <is>
          <t>2025-09</t>
        </is>
      </c>
      <c r="C60" t="n">
        <v>17</v>
      </c>
      <c r="D60" t="n">
        <v>1104</v>
      </c>
      <c r="E60" t="n">
        <v>63760.08</v>
      </c>
      <c r="F60" t="n">
        <v>1627.86</v>
      </c>
      <c r="G60" t="n">
        <v>62132.22</v>
      </c>
      <c r="H60" t="n">
        <v>32394</v>
      </c>
      <c r="I60" t="n">
        <v>1683.36</v>
      </c>
      <c r="J60" t="n">
        <v>28054.86</v>
      </c>
      <c r="K60" t="n">
        <v>24</v>
      </c>
      <c r="L60" t="n">
        <v>0.45153481</v>
      </c>
    </row>
    <row r="61">
      <c r="A61" t="inlineStr">
        <is>
          <t>CZE</t>
        </is>
      </c>
      <c r="B61" t="inlineStr">
        <is>
          <t>2025-10</t>
        </is>
      </c>
      <c r="C61" t="n">
        <v>18</v>
      </c>
      <c r="D61" t="n">
        <v>1288</v>
      </c>
      <c r="E61" t="n">
        <v>83858.3</v>
      </c>
      <c r="F61" t="n">
        <v>1629.94</v>
      </c>
      <c r="G61" t="n">
        <v>82228.36</v>
      </c>
      <c r="H61" t="n">
        <v>40772.5</v>
      </c>
      <c r="I61" t="n">
        <v>1941.92</v>
      </c>
      <c r="J61" t="n">
        <v>39513.94</v>
      </c>
      <c r="K61" t="n">
        <v>24</v>
      </c>
      <c r="L61" t="n">
        <v>0.48053907</v>
      </c>
    </row>
    <row r="62">
      <c r="A62" t="inlineStr">
        <is>
          <t>CZE</t>
        </is>
      </c>
      <c r="B62" t="inlineStr">
        <is>
          <t>2025-11</t>
        </is>
      </c>
      <c r="C62" t="n">
        <v>18</v>
      </c>
      <c r="D62" t="n">
        <v>1189</v>
      </c>
      <c r="E62" t="n">
        <v>74614.67</v>
      </c>
      <c r="F62" t="n">
        <v>1635.43</v>
      </c>
      <c r="G62" t="n">
        <v>72979.24000000001</v>
      </c>
      <c r="H62" t="n">
        <v>36332.5</v>
      </c>
      <c r="I62" t="n">
        <v>1809.26</v>
      </c>
      <c r="J62" t="n">
        <v>34837.48</v>
      </c>
      <c r="K62" t="n">
        <v>24</v>
      </c>
      <c r="L62" t="n">
        <v>0.47736151</v>
      </c>
    </row>
    <row r="63">
      <c r="A63" t="inlineStr">
        <is>
          <t>CZE</t>
        </is>
      </c>
      <c r="B63" t="inlineStr">
        <is>
          <t>2025-12</t>
        </is>
      </c>
      <c r="C63" t="n">
        <v>16</v>
      </c>
      <c r="D63" t="n">
        <v>1089</v>
      </c>
      <c r="E63" t="n">
        <v>68007.92999999999</v>
      </c>
      <c r="F63" t="n">
        <v>1633.72</v>
      </c>
      <c r="G63" t="n">
        <v>66374.21000000001</v>
      </c>
      <c r="H63" t="n">
        <v>32779.5</v>
      </c>
      <c r="I63" t="n">
        <v>1651.26</v>
      </c>
      <c r="J63" t="n">
        <v>31943.45</v>
      </c>
      <c r="K63" t="n">
        <v>24</v>
      </c>
      <c r="L63" t="n">
        <v>0.48126298</v>
      </c>
    </row>
    <row r="64">
      <c r="A64" t="inlineStr">
        <is>
          <t>ESP</t>
        </is>
      </c>
      <c r="B64" t="inlineStr">
        <is>
          <t>2025-01</t>
        </is>
      </c>
      <c r="C64" t="n">
        <v>18</v>
      </c>
      <c r="D64" t="n">
        <v>1190</v>
      </c>
      <c r="E64" t="n">
        <v>74395.22</v>
      </c>
      <c r="F64" t="n">
        <v>1785</v>
      </c>
      <c r="G64" t="n">
        <v>72610.22</v>
      </c>
      <c r="H64" t="n">
        <v>33861</v>
      </c>
      <c r="I64" t="n">
        <v>1941.5</v>
      </c>
      <c r="J64" t="n">
        <v>36807.72</v>
      </c>
      <c r="K64" t="n">
        <v>21</v>
      </c>
      <c r="L64" t="n">
        <v>0.50692203</v>
      </c>
    </row>
    <row r="65">
      <c r="A65" t="inlineStr">
        <is>
          <t>ESP</t>
        </is>
      </c>
      <c r="B65" t="inlineStr">
        <is>
          <t>2025-02</t>
        </is>
      </c>
      <c r="C65" t="n">
        <v>18</v>
      </c>
      <c r="D65" t="n">
        <v>991</v>
      </c>
      <c r="E65" t="n">
        <v>60327.46</v>
      </c>
      <c r="F65" t="n">
        <v>1785</v>
      </c>
      <c r="G65" t="n">
        <v>58542.46</v>
      </c>
      <c r="H65" t="n">
        <v>27263</v>
      </c>
      <c r="I65" t="n">
        <v>1652.95</v>
      </c>
      <c r="J65" t="n">
        <v>29626.51</v>
      </c>
      <c r="K65" t="n">
        <v>21</v>
      </c>
      <c r="L65" t="n">
        <v>0.50606876</v>
      </c>
    </row>
    <row r="66">
      <c r="A66" t="inlineStr">
        <is>
          <t>ESP</t>
        </is>
      </c>
      <c r="B66" t="inlineStr">
        <is>
          <t>2025-03</t>
        </is>
      </c>
      <c r="C66" t="n">
        <v>17</v>
      </c>
      <c r="D66" t="n">
        <v>1008</v>
      </c>
      <c r="E66" t="n">
        <v>58853.68</v>
      </c>
      <c r="F66" t="n">
        <v>1785</v>
      </c>
      <c r="G66" t="n">
        <v>57068.68</v>
      </c>
      <c r="H66" t="n">
        <v>28585.5</v>
      </c>
      <c r="I66" t="n">
        <v>1665.6</v>
      </c>
      <c r="J66" t="n">
        <v>26817.58</v>
      </c>
      <c r="K66" t="n">
        <v>21</v>
      </c>
      <c r="L66" t="n">
        <v>0.46991765</v>
      </c>
    </row>
    <row r="67">
      <c r="A67" t="inlineStr">
        <is>
          <t>ESP</t>
        </is>
      </c>
      <c r="B67" t="inlineStr">
        <is>
          <t>2025-04</t>
        </is>
      </c>
      <c r="C67" t="n">
        <v>17</v>
      </c>
      <c r="D67" t="n">
        <v>1096</v>
      </c>
      <c r="E67" t="n">
        <v>69827.92</v>
      </c>
      <c r="F67" t="n">
        <v>1785</v>
      </c>
      <c r="G67" t="n">
        <v>68042.92</v>
      </c>
      <c r="H67" t="n">
        <v>31926.5</v>
      </c>
      <c r="I67" t="n">
        <v>1793.2</v>
      </c>
      <c r="J67" t="n">
        <v>34323.22</v>
      </c>
      <c r="K67" t="n">
        <v>21</v>
      </c>
      <c r="L67" t="n">
        <v>0.50443485</v>
      </c>
    </row>
    <row r="68">
      <c r="A68" t="inlineStr">
        <is>
          <t>ESP</t>
        </is>
      </c>
      <c r="B68" t="inlineStr">
        <is>
          <t>2025-05</t>
        </is>
      </c>
      <c r="C68" t="n">
        <v>18</v>
      </c>
      <c r="D68" t="n">
        <v>1247</v>
      </c>
      <c r="E68" t="n">
        <v>78780.62</v>
      </c>
      <c r="F68" t="n">
        <v>1785</v>
      </c>
      <c r="G68" t="n">
        <v>76995.62</v>
      </c>
      <c r="H68" t="n">
        <v>35513</v>
      </c>
      <c r="I68" t="n">
        <v>2024.15</v>
      </c>
      <c r="J68" t="n">
        <v>39458.47</v>
      </c>
      <c r="K68" t="n">
        <v>21</v>
      </c>
      <c r="L68" t="n">
        <v>0.51247681</v>
      </c>
    </row>
    <row r="69">
      <c r="A69" t="inlineStr">
        <is>
          <t>ESP</t>
        </is>
      </c>
      <c r="B69" t="inlineStr">
        <is>
          <t>2025-06</t>
        </is>
      </c>
      <c r="C69" t="n">
        <v>17</v>
      </c>
      <c r="D69" t="n">
        <v>1321</v>
      </c>
      <c r="E69" t="n">
        <v>83312.67999999999</v>
      </c>
      <c r="F69" t="n">
        <v>1785</v>
      </c>
      <c r="G69" t="n">
        <v>81527.67999999999</v>
      </c>
      <c r="H69" t="n">
        <v>38390.5</v>
      </c>
      <c r="I69" t="n">
        <v>2119.45</v>
      </c>
      <c r="J69" t="n">
        <v>41017.73</v>
      </c>
      <c r="K69" t="n">
        <v>21</v>
      </c>
      <c r="L69" t="n">
        <v>0.50311416</v>
      </c>
    </row>
    <row r="70">
      <c r="A70" t="inlineStr">
        <is>
          <t>ESP</t>
        </is>
      </c>
      <c r="B70" t="inlineStr">
        <is>
          <t>2025-07</t>
        </is>
      </c>
      <c r="C70" t="n">
        <v>18</v>
      </c>
      <c r="D70" t="n">
        <v>1127</v>
      </c>
      <c r="E70" t="n">
        <v>72485.36</v>
      </c>
      <c r="F70" t="n">
        <v>1785</v>
      </c>
      <c r="G70" t="n">
        <v>70700.36</v>
      </c>
      <c r="H70" t="n">
        <v>34956.5</v>
      </c>
      <c r="I70" t="n">
        <v>1850.15</v>
      </c>
      <c r="J70" t="n">
        <v>33893.71</v>
      </c>
      <c r="K70" t="n">
        <v>21</v>
      </c>
      <c r="L70" t="n">
        <v>0.4793994</v>
      </c>
    </row>
    <row r="71">
      <c r="A71" t="inlineStr">
        <is>
          <t>ESP</t>
        </is>
      </c>
      <c r="B71" t="inlineStr">
        <is>
          <t>2025-08</t>
        </is>
      </c>
      <c r="C71" t="n">
        <v>17</v>
      </c>
      <c r="D71" t="n">
        <v>1143</v>
      </c>
      <c r="E71" t="n">
        <v>68790</v>
      </c>
      <c r="F71" t="n">
        <v>1785</v>
      </c>
      <c r="G71" t="n">
        <v>67005</v>
      </c>
      <c r="H71" t="n">
        <v>32385</v>
      </c>
      <c r="I71" t="n">
        <v>1861.35</v>
      </c>
      <c r="J71" t="n">
        <v>32758.65</v>
      </c>
      <c r="K71" t="n">
        <v>21</v>
      </c>
      <c r="L71" t="n">
        <v>0.48889859</v>
      </c>
    </row>
    <row r="72">
      <c r="A72" t="inlineStr">
        <is>
          <t>ESP</t>
        </is>
      </c>
      <c r="B72" t="inlineStr">
        <is>
          <t>2025-09</t>
        </is>
      </c>
      <c r="C72" t="n">
        <v>17</v>
      </c>
      <c r="D72" t="n">
        <v>1037</v>
      </c>
      <c r="E72" t="n">
        <v>63309.12</v>
      </c>
      <c r="F72" t="n">
        <v>1785</v>
      </c>
      <c r="G72" t="n">
        <v>61524.12</v>
      </c>
      <c r="H72" t="n">
        <v>30516.5</v>
      </c>
      <c r="I72" t="n">
        <v>1707.65</v>
      </c>
      <c r="J72" t="n">
        <v>29299.97</v>
      </c>
      <c r="K72" t="n">
        <v>21</v>
      </c>
      <c r="L72" t="n">
        <v>0.4762355</v>
      </c>
    </row>
    <row r="73">
      <c r="A73" t="inlineStr">
        <is>
          <t>ESP</t>
        </is>
      </c>
      <c r="B73" t="inlineStr">
        <is>
          <t>2025-10</t>
        </is>
      </c>
      <c r="C73" t="n">
        <v>18</v>
      </c>
      <c r="D73" t="n">
        <v>1407</v>
      </c>
      <c r="E73" t="n">
        <v>89281.67999999999</v>
      </c>
      <c r="F73" t="n">
        <v>1785</v>
      </c>
      <c r="G73" t="n">
        <v>87496.67999999999</v>
      </c>
      <c r="H73" t="n">
        <v>42717</v>
      </c>
      <c r="I73" t="n">
        <v>2256.15</v>
      </c>
      <c r="J73" t="n">
        <v>42523.53</v>
      </c>
      <c r="K73" t="n">
        <v>21</v>
      </c>
      <c r="L73" t="n">
        <v>0.48600164</v>
      </c>
    </row>
    <row r="74">
      <c r="A74" t="inlineStr">
        <is>
          <t>ESP</t>
        </is>
      </c>
      <c r="B74" t="inlineStr">
        <is>
          <t>2025-11</t>
        </is>
      </c>
      <c r="C74" t="n">
        <v>18</v>
      </c>
      <c r="D74" t="n">
        <v>1218</v>
      </c>
      <c r="E74" t="n">
        <v>79050</v>
      </c>
      <c r="F74" t="n">
        <v>1785</v>
      </c>
      <c r="G74" t="n">
        <v>77265</v>
      </c>
      <c r="H74" t="n">
        <v>38344.5</v>
      </c>
      <c r="I74" t="n">
        <v>1982.1</v>
      </c>
      <c r="J74" t="n">
        <v>36938.4</v>
      </c>
      <c r="K74" t="n">
        <v>21</v>
      </c>
      <c r="L74" t="n">
        <v>0.47807416</v>
      </c>
    </row>
    <row r="75">
      <c r="A75" t="inlineStr">
        <is>
          <t>ESP</t>
        </is>
      </c>
      <c r="B75" t="inlineStr">
        <is>
          <t>2025-12</t>
        </is>
      </c>
      <c r="C75" t="n">
        <v>16</v>
      </c>
      <c r="D75" t="n">
        <v>1146</v>
      </c>
      <c r="E75" t="n">
        <v>73845.17999999999</v>
      </c>
      <c r="F75" t="n">
        <v>1785</v>
      </c>
      <c r="G75" t="n">
        <v>72060.17999999999</v>
      </c>
      <c r="H75" t="n">
        <v>35338.5</v>
      </c>
      <c r="I75" t="n">
        <v>1853.7</v>
      </c>
      <c r="J75" t="n">
        <v>34867.98</v>
      </c>
      <c r="K75" t="n">
        <v>21</v>
      </c>
      <c r="L75" t="n">
        <v>0.48387306</v>
      </c>
    </row>
  </sheetData>
  <autoFilter ref="A3:L75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</cols>
  <sheetData>
    <row r="1">
      <c r="A1" s="2" t="inlineStr">
        <is>
          <t>Market context</t>
        </is>
      </c>
    </row>
    <row r="2">
      <c r="A2" t="inlineStr">
        <is>
          <t>World Bank archive; population persons; GDP current US dollars; null preserved.</t>
        </is>
      </c>
    </row>
    <row r="3">
      <c r="A3" s="3" t="inlineStr">
        <is>
          <t>country</t>
        </is>
      </c>
      <c r="B3" s="3" t="inlineStr">
        <is>
          <t>year</t>
        </is>
      </c>
      <c r="C3" s="3" t="inlineStr">
        <is>
          <t>population</t>
        </is>
      </c>
      <c r="D3" s="3" t="inlineStr">
        <is>
          <t>gdp_per_capita_usd</t>
        </is>
      </c>
    </row>
    <row r="4">
      <c r="A4" t="inlineStr">
        <is>
          <t>DEU</t>
        </is>
      </c>
      <c r="B4" t="n">
        <v>2022</v>
      </c>
      <c r="C4" t="n">
        <v>83177813</v>
      </c>
      <c r="D4" t="n">
        <v>50506.5179638543</v>
      </c>
    </row>
    <row r="5">
      <c r="A5" t="inlineStr">
        <is>
          <t>DEU</t>
        </is>
      </c>
      <c r="B5" t="n">
        <v>2023</v>
      </c>
      <c r="C5" t="n">
        <v>83287273</v>
      </c>
      <c r="D5" t="n">
        <v>54776.7668235491</v>
      </c>
    </row>
    <row r="6">
      <c r="A6" t="inlineStr">
        <is>
          <t>DEU</t>
        </is>
      </c>
      <c r="B6" t="n">
        <v>2024</v>
      </c>
      <c r="C6" t="n">
        <v>83516593</v>
      </c>
      <c r="D6" t="n">
        <v>56103.7323182554</v>
      </c>
    </row>
    <row r="7">
      <c r="A7" t="inlineStr">
        <is>
          <t>FRA</t>
        </is>
      </c>
      <c r="B7" t="n">
        <v>2022</v>
      </c>
      <c r="C7" t="n">
        <v>68184457</v>
      </c>
      <c r="D7" t="n">
        <v>40988.6396406579</v>
      </c>
    </row>
    <row r="8">
      <c r="A8" t="inlineStr">
        <is>
          <t>FRA</t>
        </is>
      </c>
      <c r="B8" t="n">
        <v>2023</v>
      </c>
      <c r="C8" t="n">
        <v>68372286</v>
      </c>
      <c r="D8" t="n">
        <v>44700.1384177544</v>
      </c>
    </row>
    <row r="9">
      <c r="A9" t="inlineStr">
        <is>
          <t>FRA</t>
        </is>
      </c>
      <c r="B9" t="n">
        <v>2024</v>
      </c>
      <c r="C9" t="n">
        <v>68551653</v>
      </c>
      <c r="D9" t="n">
        <v>46103.0840855884</v>
      </c>
    </row>
    <row r="10">
      <c r="A10" t="inlineStr">
        <is>
          <t>NLD</t>
        </is>
      </c>
      <c r="B10" t="n">
        <v>2022</v>
      </c>
      <c r="C10" t="n">
        <v>17700982</v>
      </c>
      <c r="D10" t="n">
        <v>59123.318556487</v>
      </c>
    </row>
    <row r="11">
      <c r="A11" t="inlineStr">
        <is>
          <t>NLD</t>
        </is>
      </c>
      <c r="B11" t="n">
        <v>2023</v>
      </c>
      <c r="C11" t="n">
        <v>17877117</v>
      </c>
      <c r="D11" t="n">
        <v>63515.6030780019</v>
      </c>
    </row>
    <row r="12">
      <c r="A12" t="inlineStr">
        <is>
          <t>NLD</t>
        </is>
      </c>
      <c r="B12" t="n">
        <v>2024</v>
      </c>
      <c r="C12" t="n">
        <v>17993485</v>
      </c>
      <c r="D12" t="n">
        <v>67465.3208126875</v>
      </c>
    </row>
    <row r="13">
      <c r="A13" t="inlineStr">
        <is>
          <t>POL</t>
        </is>
      </c>
      <c r="B13" t="n">
        <v>2022</v>
      </c>
      <c r="C13" t="n">
        <v>36821749</v>
      </c>
      <c r="D13" t="n">
        <v>18891.2121169279</v>
      </c>
    </row>
    <row r="14">
      <c r="A14" t="inlineStr">
        <is>
          <t>POL</t>
        </is>
      </c>
      <c r="B14" t="n">
        <v>2023</v>
      </c>
      <c r="C14" t="n">
        <v>36687353</v>
      </c>
      <c r="D14" t="n">
        <v>22145.2660647429</v>
      </c>
    </row>
    <row r="15">
      <c r="A15" t="inlineStr">
        <is>
          <t>POL</t>
        </is>
      </c>
      <c r="B15" t="n">
        <v>2024</v>
      </c>
      <c r="C15" t="n">
        <v>36559233</v>
      </c>
      <c r="D15" t="n">
        <v>25103.565661423</v>
      </c>
    </row>
    <row r="16">
      <c r="A16" t="inlineStr">
        <is>
          <t>CZE</t>
        </is>
      </c>
      <c r="B16" t="n">
        <v>2022</v>
      </c>
      <c r="C16" t="n">
        <v>10672118</v>
      </c>
      <c r="D16" t="n">
        <v>28282.2236715857</v>
      </c>
    </row>
    <row r="17">
      <c r="A17" t="inlineStr">
        <is>
          <t>CZE</t>
        </is>
      </c>
      <c r="B17" t="n">
        <v>2023</v>
      </c>
      <c r="C17" t="n">
        <v>10864042</v>
      </c>
      <c r="D17" t="n">
        <v>31761.5944102491</v>
      </c>
    </row>
    <row r="18">
      <c r="A18" t="inlineStr">
        <is>
          <t>CZE</t>
        </is>
      </c>
      <c r="B18" t="n">
        <v>2024</v>
      </c>
      <c r="C18" t="n">
        <v>10905028</v>
      </c>
      <c r="D18" t="n">
        <v>31827.7552539413</v>
      </c>
    </row>
    <row r="19">
      <c r="A19" t="inlineStr">
        <is>
          <t>ESP</t>
        </is>
      </c>
      <c r="B19" t="n">
        <v>2022</v>
      </c>
      <c r="C19" t="n">
        <v>47786102</v>
      </c>
      <c r="D19" t="n">
        <v>30319.4987196616</v>
      </c>
    </row>
    <row r="20">
      <c r="A20" t="inlineStr">
        <is>
          <t>ESP</t>
        </is>
      </c>
      <c r="B20" t="n">
        <v>2023</v>
      </c>
      <c r="C20" t="n">
        <v>48352528</v>
      </c>
      <c r="D20" t="n">
        <v>33493.2225409111</v>
      </c>
    </row>
    <row r="21">
      <c r="A21" t="inlineStr">
        <is>
          <t>ESP</t>
        </is>
      </c>
      <c r="B21" t="n">
        <v>2024</v>
      </c>
      <c r="C21" t="n">
        <v>48848840</v>
      </c>
      <c r="D21" t="n">
        <v>35326.7683069278</v>
      </c>
    </row>
  </sheetData>
  <autoFilter ref="A3:D2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</cols>
  <sheetData>
    <row r="1">
      <c r="A1" s="2" t="inlineStr">
        <is>
          <t>FX monthly</t>
        </is>
      </c>
    </row>
    <row r="2">
      <c r="A2" t="inlineStr">
        <is>
          <t>ECB mean of 2025 business days; local units per EUR; EUR=1.</t>
        </is>
      </c>
    </row>
    <row r="3">
      <c r="A3" s="3" t="inlineStr">
        <is>
          <t>currency</t>
        </is>
      </c>
      <c r="B3" s="3" t="inlineStr">
        <is>
          <t>month</t>
        </is>
      </c>
      <c r="C3" s="3" t="inlineStr">
        <is>
          <t>local_per_eur</t>
        </is>
      </c>
    </row>
    <row r="4">
      <c r="A4" t="inlineStr">
        <is>
          <t>PLN</t>
        </is>
      </c>
      <c r="B4" t="inlineStr">
        <is>
          <t>2025-01</t>
        </is>
      </c>
      <c r="C4" t="n">
        <v>4.246654545454545</v>
      </c>
    </row>
    <row r="5">
      <c r="A5" t="inlineStr">
        <is>
          <t>PLN</t>
        </is>
      </c>
      <c r="B5" t="inlineStr">
        <is>
          <t>2025-02</t>
        </is>
      </c>
      <c r="C5" t="n">
        <v>4.172225</v>
      </c>
    </row>
    <row r="6">
      <c r="A6" t="inlineStr">
        <is>
          <t>PLN</t>
        </is>
      </c>
      <c r="B6" t="inlineStr">
        <is>
          <t>2025-03</t>
        </is>
      </c>
      <c r="C6" t="n">
        <v>4.182009523809524</v>
      </c>
    </row>
    <row r="7">
      <c r="A7" t="inlineStr">
        <is>
          <t>PLN</t>
        </is>
      </c>
      <c r="B7" t="inlineStr">
        <is>
          <t>2025-04</t>
        </is>
      </c>
      <c r="C7" t="n">
        <v>4.26522</v>
      </c>
    </row>
    <row r="8">
      <c r="A8" t="inlineStr">
        <is>
          <t>PLN</t>
        </is>
      </c>
      <c r="B8" t="inlineStr">
        <is>
          <t>2025-05</t>
        </is>
      </c>
      <c r="C8" t="n">
        <v>4.2538</v>
      </c>
    </row>
    <row r="9">
      <c r="A9" t="inlineStr">
        <is>
          <t>PLN</t>
        </is>
      </c>
      <c r="B9" t="inlineStr">
        <is>
          <t>2025-06</t>
        </is>
      </c>
      <c r="C9" t="n">
        <v>4.265771428571429</v>
      </c>
    </row>
    <row r="10">
      <c r="A10" t="inlineStr">
        <is>
          <t>PLN</t>
        </is>
      </c>
      <c r="B10" t="inlineStr">
        <is>
          <t>2025-07</t>
        </is>
      </c>
      <c r="C10" t="n">
        <v>4.254147826086957</v>
      </c>
    </row>
    <row r="11">
      <c r="A11" t="inlineStr">
        <is>
          <t>PLN</t>
        </is>
      </c>
      <c r="B11" t="inlineStr">
        <is>
          <t>2025-08</t>
        </is>
      </c>
      <c r="C11" t="n">
        <v>4.261304761904761</v>
      </c>
    </row>
    <row r="12">
      <c r="A12" t="inlineStr">
        <is>
          <t>PLN</t>
        </is>
      </c>
      <c r="B12" t="inlineStr">
        <is>
          <t>2025-09</t>
        </is>
      </c>
      <c r="C12" t="n">
        <v>4.258886363636363</v>
      </c>
    </row>
    <row r="13">
      <c r="A13" t="inlineStr">
        <is>
          <t>PLN</t>
        </is>
      </c>
      <c r="B13" t="inlineStr">
        <is>
          <t>2025-10</t>
        </is>
      </c>
      <c r="C13" t="n">
        <v>4.248791304347826</v>
      </c>
    </row>
    <row r="14">
      <c r="A14" t="inlineStr">
        <is>
          <t>PLN</t>
        </is>
      </c>
      <c r="B14" t="inlineStr">
        <is>
          <t>2025-11</t>
        </is>
      </c>
      <c r="C14" t="n">
        <v>4.237635</v>
      </c>
    </row>
    <row r="15">
      <c r="A15" t="inlineStr">
        <is>
          <t>PLN</t>
        </is>
      </c>
      <c r="B15" t="inlineStr">
        <is>
          <t>2025-12</t>
        </is>
      </c>
      <c r="C15" t="n">
        <v>4.223857142857143</v>
      </c>
    </row>
    <row r="16">
      <c r="A16" t="inlineStr">
        <is>
          <t>CZK</t>
        </is>
      </c>
      <c r="B16" t="inlineStr">
        <is>
          <t>2025-01</t>
        </is>
      </c>
      <c r="C16" t="n">
        <v>25.16331818181818</v>
      </c>
    </row>
    <row r="17">
      <c r="A17" t="inlineStr">
        <is>
          <t>CZK</t>
        </is>
      </c>
      <c r="B17" t="inlineStr">
        <is>
          <t>2025-02</t>
        </is>
      </c>
      <c r="C17" t="n">
        <v>25.07665</v>
      </c>
    </row>
    <row r="18">
      <c r="A18" t="inlineStr">
        <is>
          <t>CZK</t>
        </is>
      </c>
      <c r="B18" t="inlineStr">
        <is>
          <t>2025-03</t>
        </is>
      </c>
      <c r="C18" t="n">
        <v>25.00123809523809</v>
      </c>
    </row>
    <row r="19">
      <c r="A19" t="inlineStr">
        <is>
          <t>CZK</t>
        </is>
      </c>
      <c r="B19" t="inlineStr">
        <is>
          <t>2025-04</t>
        </is>
      </c>
      <c r="C19" t="n">
        <v>25.03895</v>
      </c>
    </row>
    <row r="20">
      <c r="A20" t="inlineStr">
        <is>
          <t>CZK</t>
        </is>
      </c>
      <c r="B20" t="inlineStr">
        <is>
          <t>2025-05</t>
        </is>
      </c>
      <c r="C20" t="n">
        <v>24.92285714285714</v>
      </c>
    </row>
    <row r="21">
      <c r="A21" t="inlineStr">
        <is>
          <t>CZK</t>
        </is>
      </c>
      <c r="B21" t="inlineStr">
        <is>
          <t>2025-06</t>
        </is>
      </c>
      <c r="C21" t="n">
        <v>24.80428571428572</v>
      </c>
    </row>
    <row r="22">
      <c r="A22" t="inlineStr">
        <is>
          <t>CZK</t>
        </is>
      </c>
      <c r="B22" t="inlineStr">
        <is>
          <t>2025-07</t>
        </is>
      </c>
      <c r="C22" t="n">
        <v>24.62460869565217</v>
      </c>
    </row>
    <row r="23">
      <c r="A23" t="inlineStr">
        <is>
          <t>CZK</t>
        </is>
      </c>
      <c r="B23" t="inlineStr">
        <is>
          <t>2025-08</t>
        </is>
      </c>
      <c r="C23" t="n">
        <v>24.51661904761905</v>
      </c>
    </row>
    <row r="24">
      <c r="A24" t="inlineStr">
        <is>
          <t>CZK</t>
        </is>
      </c>
      <c r="B24" t="inlineStr">
        <is>
          <t>2025-09</t>
        </is>
      </c>
      <c r="C24" t="n">
        <v>24.34677272727273</v>
      </c>
    </row>
    <row r="25">
      <c r="A25" t="inlineStr">
        <is>
          <t>CZK</t>
        </is>
      </c>
      <c r="B25" t="inlineStr">
        <is>
          <t>2025-10</t>
        </is>
      </c>
      <c r="C25" t="n">
        <v>24.31539130434783</v>
      </c>
    </row>
    <row r="26">
      <c r="A26" t="inlineStr">
        <is>
          <t>CZK</t>
        </is>
      </c>
      <c r="B26" t="inlineStr">
        <is>
          <t>2025-11</t>
        </is>
      </c>
      <c r="C26" t="n">
        <v>24.23405</v>
      </c>
    </row>
    <row r="27">
      <c r="A27" t="inlineStr">
        <is>
          <t>CZK</t>
        </is>
      </c>
      <c r="B27" t="inlineStr">
        <is>
          <t>2025-12</t>
        </is>
      </c>
      <c r="C27" t="n">
        <v>24.25928571428571</v>
      </c>
    </row>
  </sheetData>
  <autoFilter ref="A3:C27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3" customWidth="1" min="4" max="4"/>
    <col width="13" customWidth="1" min="5" max="5"/>
    <col width="15" customWidth="1" min="6" max="6"/>
  </cols>
  <sheetData>
    <row r="1">
      <c r="A1" s="2" t="inlineStr">
        <is>
          <t>Hub scenarios</t>
        </is>
      </c>
    </row>
    <row r="2">
      <c r="A2" t="inlineStr">
        <is>
          <t>All single options and feasible pairs; capex is year zero; null payback if nonpositive annual increment.</t>
        </is>
      </c>
    </row>
    <row r="3">
      <c r="A3" s="3" t="inlineStr">
        <is>
          <t>country</t>
        </is>
      </c>
      <c r="B3" s="3" t="inlineStr">
        <is>
          <t>scenario</t>
        </is>
      </c>
      <c r="C3" s="3" t="inlineStr">
        <is>
          <t>incremental_contribution_eur</t>
        </is>
      </c>
      <c r="D3" s="3" t="inlineStr">
        <is>
          <t>capex_eur</t>
        </is>
      </c>
      <c r="E3" s="3" t="inlineStr">
        <is>
          <t>fte</t>
        </is>
      </c>
      <c r="F3" s="3" t="inlineStr">
        <is>
          <t>payback_years</t>
        </is>
      </c>
    </row>
    <row r="4">
      <c r="A4" t="inlineStr">
        <is>
          <t>DEU</t>
        </is>
      </c>
      <c r="B4" t="inlineStr">
        <is>
          <t>low</t>
        </is>
      </c>
      <c r="C4" t="n">
        <v>-34326.41</v>
      </c>
      <c r="D4" t="n">
        <v>280000</v>
      </c>
      <c r="E4" t="n">
        <v>5</v>
      </c>
    </row>
    <row r="5">
      <c r="A5" t="inlineStr">
        <is>
          <t>DEU</t>
        </is>
      </c>
      <c r="B5" t="inlineStr">
        <is>
          <t>base</t>
        </is>
      </c>
      <c r="C5" t="n">
        <v>9287.27</v>
      </c>
      <c r="D5" t="n">
        <v>280000</v>
      </c>
      <c r="E5" t="n">
        <v>5</v>
      </c>
      <c r="F5" t="n">
        <v>30.1488</v>
      </c>
    </row>
    <row r="6">
      <c r="A6" t="inlineStr">
        <is>
          <t>DEU</t>
        </is>
      </c>
      <c r="B6" t="inlineStr">
        <is>
          <t>high</t>
        </is>
      </c>
      <c r="C6" t="n">
        <v>52900.94</v>
      </c>
      <c r="D6" t="n">
        <v>280000</v>
      </c>
      <c r="E6" t="n">
        <v>5</v>
      </c>
      <c r="F6" t="n">
        <v>5.2929</v>
      </c>
    </row>
    <row r="7">
      <c r="A7" t="inlineStr">
        <is>
          <t>DEU</t>
        </is>
      </c>
      <c r="B7" t="inlineStr">
        <is>
          <t>stress</t>
        </is>
      </c>
      <c r="C7" t="n">
        <v>-14384.41</v>
      </c>
      <c r="D7" t="n">
        <v>280000</v>
      </c>
      <c r="E7" t="n">
        <v>5</v>
      </c>
    </row>
    <row r="8">
      <c r="A8" t="inlineStr">
        <is>
          <t>FRA</t>
        </is>
      </c>
      <c r="B8" t="inlineStr">
        <is>
          <t>low</t>
        </is>
      </c>
      <c r="C8" t="n">
        <v>-19747.04</v>
      </c>
      <c r="D8" t="n">
        <v>210000</v>
      </c>
      <c r="E8" t="n">
        <v>4</v>
      </c>
    </row>
    <row r="9">
      <c r="A9" t="inlineStr">
        <is>
          <t>FRA</t>
        </is>
      </c>
      <c r="B9" t="inlineStr">
        <is>
          <t>base</t>
        </is>
      </c>
      <c r="C9" t="n">
        <v>26454.4</v>
      </c>
      <c r="D9" t="n">
        <v>210000</v>
      </c>
      <c r="E9" t="n">
        <v>4</v>
      </c>
      <c r="F9" t="n">
        <v>7.9382</v>
      </c>
    </row>
    <row r="10">
      <c r="A10" t="inlineStr">
        <is>
          <t>FRA</t>
        </is>
      </c>
      <c r="B10" t="inlineStr">
        <is>
          <t>high</t>
        </is>
      </c>
      <c r="C10" t="n">
        <v>72655.84</v>
      </c>
      <c r="D10" t="n">
        <v>210000</v>
      </c>
      <c r="E10" t="n">
        <v>4</v>
      </c>
      <c r="F10" t="n">
        <v>2.8903</v>
      </c>
    </row>
    <row r="11">
      <c r="A11" t="inlineStr">
        <is>
          <t>FRA</t>
        </is>
      </c>
      <c r="B11" t="inlineStr">
        <is>
          <t>stress</t>
        </is>
      </c>
      <c r="C11" t="n">
        <v>2419.53</v>
      </c>
      <c r="D11" t="n">
        <v>210000</v>
      </c>
      <c r="E11" t="n">
        <v>4</v>
      </c>
      <c r="F11" t="n">
        <v>86.7938</v>
      </c>
    </row>
    <row r="12">
      <c r="A12" t="inlineStr">
        <is>
          <t>NLD</t>
        </is>
      </c>
      <c r="B12" t="inlineStr">
        <is>
          <t>low</t>
        </is>
      </c>
      <c r="C12" t="n">
        <v>10526.39</v>
      </c>
      <c r="D12" t="n">
        <v>140000</v>
      </c>
      <c r="E12" t="n">
        <v>3</v>
      </c>
      <c r="F12" t="n">
        <v>13.2999</v>
      </c>
    </row>
    <row r="13">
      <c r="A13" t="inlineStr">
        <is>
          <t>NLD</t>
        </is>
      </c>
      <c r="B13" t="inlineStr">
        <is>
          <t>base</t>
        </is>
      </c>
      <c r="C13" t="n">
        <v>63451.18</v>
      </c>
      <c r="D13" t="n">
        <v>140000</v>
      </c>
      <c r="E13" t="n">
        <v>3</v>
      </c>
      <c r="F13" t="n">
        <v>2.2064</v>
      </c>
    </row>
    <row r="14">
      <c r="A14" t="inlineStr">
        <is>
          <t>NLD</t>
        </is>
      </c>
      <c r="B14" t="inlineStr">
        <is>
          <t>high</t>
        </is>
      </c>
      <c r="C14" t="n">
        <v>116375.97</v>
      </c>
      <c r="D14" t="n">
        <v>140000</v>
      </c>
      <c r="E14" t="n">
        <v>3</v>
      </c>
      <c r="F14" t="n">
        <v>1.203</v>
      </c>
    </row>
    <row r="15">
      <c r="A15" t="inlineStr">
        <is>
          <t>NLD</t>
        </is>
      </c>
      <c r="B15" t="inlineStr">
        <is>
          <t>stress</t>
        </is>
      </c>
      <c r="C15" t="n">
        <v>36859.6</v>
      </c>
      <c r="D15" t="n">
        <v>140000</v>
      </c>
      <c r="E15" t="n">
        <v>3</v>
      </c>
      <c r="F15" t="n">
        <v>3.7982</v>
      </c>
    </row>
    <row r="16">
      <c r="A16" t="inlineStr">
        <is>
          <t>POL</t>
        </is>
      </c>
      <c r="B16" t="inlineStr">
        <is>
          <t>low</t>
        </is>
      </c>
      <c r="C16" t="n">
        <v>25074.81</v>
      </c>
      <c r="D16" t="n">
        <v>110000</v>
      </c>
      <c r="E16" t="n">
        <v>3</v>
      </c>
      <c r="F16" t="n">
        <v>4.3869</v>
      </c>
    </row>
    <row r="17">
      <c r="A17" t="inlineStr">
        <is>
          <t>POL</t>
        </is>
      </c>
      <c r="B17" t="inlineStr">
        <is>
          <t>base</t>
        </is>
      </c>
      <c r="C17" t="n">
        <v>82800.22</v>
      </c>
      <c r="D17" t="n">
        <v>110000</v>
      </c>
      <c r="E17" t="n">
        <v>3</v>
      </c>
      <c r="F17" t="n">
        <v>1.3285</v>
      </c>
    </row>
    <row r="18">
      <c r="A18" t="inlineStr">
        <is>
          <t>POL</t>
        </is>
      </c>
      <c r="B18" t="inlineStr">
        <is>
          <t>high</t>
        </is>
      </c>
      <c r="C18" t="n">
        <v>140525.63</v>
      </c>
      <c r="D18" t="n">
        <v>110000</v>
      </c>
      <c r="E18" t="n">
        <v>3</v>
      </c>
      <c r="F18" t="n">
        <v>0.7828000000000001</v>
      </c>
    </row>
    <row r="19">
      <c r="A19" t="inlineStr">
        <is>
          <t>POL</t>
        </is>
      </c>
      <c r="B19" t="inlineStr">
        <is>
          <t>stress</t>
        </is>
      </c>
      <c r="C19" t="n">
        <v>-41555.06</v>
      </c>
      <c r="D19" t="n">
        <v>110000</v>
      </c>
      <c r="E19" t="n">
        <v>3</v>
      </c>
    </row>
    <row r="20">
      <c r="A20" t="inlineStr">
        <is>
          <t>CZE</t>
        </is>
      </c>
      <c r="B20" t="inlineStr">
        <is>
          <t>low</t>
        </is>
      </c>
      <c r="C20" t="n">
        <v>31102.46</v>
      </c>
      <c r="D20" t="n">
        <v>95000</v>
      </c>
      <c r="E20" t="n">
        <v>2</v>
      </c>
      <c r="F20" t="n">
        <v>3.0544</v>
      </c>
    </row>
    <row r="21">
      <c r="A21" t="inlineStr">
        <is>
          <t>CZE</t>
        </is>
      </c>
      <c r="B21" t="inlineStr">
        <is>
          <t>base</t>
        </is>
      </c>
      <c r="C21" t="n">
        <v>94497.19</v>
      </c>
      <c r="D21" t="n">
        <v>95000</v>
      </c>
      <c r="E21" t="n">
        <v>2</v>
      </c>
      <c r="F21" t="n">
        <v>1.0053</v>
      </c>
    </row>
    <row r="22">
      <c r="A22" t="inlineStr">
        <is>
          <t>CZE</t>
        </is>
      </c>
      <c r="B22" t="inlineStr">
        <is>
          <t>high</t>
        </is>
      </c>
      <c r="C22" t="n">
        <v>157891.92</v>
      </c>
      <c r="D22" t="n">
        <v>95000</v>
      </c>
      <c r="E22" t="n">
        <v>2</v>
      </c>
      <c r="F22" t="n">
        <v>0.6017</v>
      </c>
    </row>
    <row r="23">
      <c r="A23" t="inlineStr">
        <is>
          <t>CZE</t>
        </is>
      </c>
      <c r="B23" t="inlineStr">
        <is>
          <t>stress</t>
        </is>
      </c>
      <c r="C23" t="n">
        <v>-38712.7</v>
      </c>
      <c r="D23" t="n">
        <v>95000</v>
      </c>
      <c r="E23" t="n">
        <v>2</v>
      </c>
    </row>
    <row r="24">
      <c r="A24" t="inlineStr">
        <is>
          <t>ESP</t>
        </is>
      </c>
      <c r="B24" t="inlineStr">
        <is>
          <t>low</t>
        </is>
      </c>
      <c r="C24" t="n">
        <v>32805.65</v>
      </c>
      <c r="D24" t="n">
        <v>130000</v>
      </c>
      <c r="E24" t="n">
        <v>3</v>
      </c>
      <c r="F24" t="n">
        <v>3.9627</v>
      </c>
    </row>
    <row r="25">
      <c r="A25" t="inlineStr">
        <is>
          <t>ESP</t>
        </is>
      </c>
      <c r="B25" t="inlineStr">
        <is>
          <t>base</t>
        </is>
      </c>
      <c r="C25" t="n">
        <v>101824.62</v>
      </c>
      <c r="D25" t="n">
        <v>130000</v>
      </c>
      <c r="E25" t="n">
        <v>3</v>
      </c>
      <c r="F25" t="n">
        <v>1.2767</v>
      </c>
    </row>
    <row r="26">
      <c r="A26" t="inlineStr">
        <is>
          <t>ESP</t>
        </is>
      </c>
      <c r="B26" t="inlineStr">
        <is>
          <t>high</t>
        </is>
      </c>
      <c r="C26" t="n">
        <v>170843.59</v>
      </c>
      <c r="D26" t="n">
        <v>130000</v>
      </c>
      <c r="E26" t="n">
        <v>3</v>
      </c>
      <c r="F26" t="n">
        <v>0.7609</v>
      </c>
    </row>
    <row r="27">
      <c r="A27" t="inlineStr">
        <is>
          <t>ESP</t>
        </is>
      </c>
      <c r="B27" t="inlineStr">
        <is>
          <t>stress</t>
        </is>
      </c>
      <c r="C27" t="n">
        <v>69114.91</v>
      </c>
      <c r="D27" t="n">
        <v>130000</v>
      </c>
      <c r="E27" t="n">
        <v>3</v>
      </c>
      <c r="F27" t="n">
        <v>1.8809</v>
      </c>
    </row>
    <row r="28">
      <c r="A28" t="inlineStr">
        <is>
          <t>DEU+CZE</t>
        </is>
      </c>
      <c r="B28" t="inlineStr">
        <is>
          <t>low</t>
        </is>
      </c>
      <c r="C28" t="n">
        <v>64125.85</v>
      </c>
      <c r="D28" t="n">
        <v>375000</v>
      </c>
      <c r="E28" t="n">
        <v>7</v>
      </c>
      <c r="F28" t="n">
        <v>5.8479</v>
      </c>
    </row>
    <row r="29">
      <c r="A29" t="inlineStr">
        <is>
          <t>DEU+CZE</t>
        </is>
      </c>
      <c r="B29" t="inlineStr">
        <is>
          <t>base</t>
        </is>
      </c>
      <c r="C29" t="n">
        <v>180318.33</v>
      </c>
      <c r="D29" t="n">
        <v>375000</v>
      </c>
      <c r="E29" t="n">
        <v>7</v>
      </c>
      <c r="F29" t="n">
        <v>2.0797</v>
      </c>
    </row>
    <row r="30">
      <c r="A30" t="inlineStr">
        <is>
          <t>DEU+CZE</t>
        </is>
      </c>
      <c r="B30" t="inlineStr">
        <is>
          <t>high</t>
        </is>
      </c>
      <c r="C30" t="n">
        <v>296510.8</v>
      </c>
      <c r="D30" t="n">
        <v>375000</v>
      </c>
      <c r="E30" t="n">
        <v>7</v>
      </c>
      <c r="F30" t="n">
        <v>1.2647</v>
      </c>
    </row>
    <row r="31">
      <c r="A31" t="inlineStr">
        <is>
          <t>DEU+CZE</t>
        </is>
      </c>
      <c r="B31" t="inlineStr">
        <is>
          <t>stress</t>
        </is>
      </c>
      <c r="C31" t="n">
        <v>-54787.21</v>
      </c>
      <c r="D31" t="n">
        <v>375000</v>
      </c>
      <c r="E31" t="n">
        <v>7</v>
      </c>
    </row>
    <row r="32">
      <c r="A32" t="inlineStr">
        <is>
          <t>FRA+NLD</t>
        </is>
      </c>
      <c r="B32" t="inlineStr">
        <is>
          <t>low</t>
        </is>
      </c>
      <c r="C32" t="n">
        <v>72714.39</v>
      </c>
      <c r="D32" t="n">
        <v>350000</v>
      </c>
      <c r="E32" t="n">
        <v>7</v>
      </c>
      <c r="F32" t="n">
        <v>4.8134</v>
      </c>
    </row>
    <row r="33">
      <c r="A33" t="inlineStr">
        <is>
          <t>FRA+NLD</t>
        </is>
      </c>
      <c r="B33" t="inlineStr">
        <is>
          <t>base</t>
        </is>
      </c>
      <c r="C33" t="n">
        <v>183013.58</v>
      </c>
      <c r="D33" t="n">
        <v>350000</v>
      </c>
      <c r="E33" t="n">
        <v>7</v>
      </c>
      <c r="F33" t="n">
        <v>1.9124</v>
      </c>
    </row>
    <row r="34">
      <c r="A34" t="inlineStr">
        <is>
          <t>FRA+NLD</t>
        </is>
      </c>
      <c r="B34" t="inlineStr">
        <is>
          <t>high</t>
        </is>
      </c>
      <c r="C34" t="n">
        <v>293312.77</v>
      </c>
      <c r="D34" t="n">
        <v>350000</v>
      </c>
      <c r="E34" t="n">
        <v>7</v>
      </c>
      <c r="F34" t="n">
        <v>1.1933</v>
      </c>
    </row>
    <row r="35">
      <c r="A35" t="inlineStr">
        <is>
          <t>FRA+NLD</t>
        </is>
      </c>
      <c r="B35" t="inlineStr">
        <is>
          <t>stress</t>
        </is>
      </c>
      <c r="C35" t="n">
        <v>132387.13</v>
      </c>
      <c r="D35" t="n">
        <v>350000</v>
      </c>
      <c r="E35" t="n">
        <v>7</v>
      </c>
      <c r="F35" t="n">
        <v>2.6438</v>
      </c>
    </row>
    <row r="36">
      <c r="A36" t="inlineStr">
        <is>
          <t>FRA+POL</t>
        </is>
      </c>
      <c r="B36" t="inlineStr">
        <is>
          <t>low</t>
        </is>
      </c>
      <c r="C36" t="n">
        <v>78680.94</v>
      </c>
      <c r="D36" t="n">
        <v>320000</v>
      </c>
      <c r="E36" t="n">
        <v>7</v>
      </c>
      <c r="F36" t="n">
        <v>4.0671</v>
      </c>
    </row>
    <row r="37">
      <c r="A37" t="inlineStr">
        <is>
          <t>FRA+POL</t>
        </is>
      </c>
      <c r="B37" t="inlineStr">
        <is>
          <t>base</t>
        </is>
      </c>
      <c r="C37" t="n">
        <v>192610.5</v>
      </c>
      <c r="D37" t="n">
        <v>320000</v>
      </c>
      <c r="E37" t="n">
        <v>7</v>
      </c>
      <c r="F37" t="n">
        <v>1.6614</v>
      </c>
    </row>
    <row r="38">
      <c r="A38" t="inlineStr">
        <is>
          <t>FRA+POL</t>
        </is>
      </c>
      <c r="B38" t="inlineStr">
        <is>
          <t>high</t>
        </is>
      </c>
      <c r="C38" t="n">
        <v>306540.05</v>
      </c>
      <c r="D38" t="n">
        <v>320000</v>
      </c>
      <c r="E38" t="n">
        <v>7</v>
      </c>
      <c r="F38" t="n">
        <v>1.0439</v>
      </c>
    </row>
    <row r="39">
      <c r="A39" t="inlineStr">
        <is>
          <t>FRA+POL</t>
        </is>
      </c>
      <c r="B39" t="inlineStr">
        <is>
          <t>stress</t>
        </is>
      </c>
      <c r="C39" t="n">
        <v>-34808.52</v>
      </c>
      <c r="D39" t="n">
        <v>320000</v>
      </c>
      <c r="E39" t="n">
        <v>7</v>
      </c>
    </row>
    <row r="40">
      <c r="A40" t="inlineStr">
        <is>
          <t>FRA+CZE</t>
        </is>
      </c>
      <c r="B40" t="inlineStr">
        <is>
          <t>low</t>
        </is>
      </c>
      <c r="C40" t="n">
        <v>82606.49000000001</v>
      </c>
      <c r="D40" t="n">
        <v>305000</v>
      </c>
      <c r="E40" t="n">
        <v>6</v>
      </c>
      <c r="F40" t="n">
        <v>3.6922</v>
      </c>
    </row>
    <row r="41">
      <c r="A41" t="inlineStr">
        <is>
          <t>FRA+CZE</t>
        </is>
      </c>
      <c r="B41" t="inlineStr">
        <is>
          <t>base</t>
        </is>
      </c>
      <c r="C41" t="n">
        <v>201918.71</v>
      </c>
      <c r="D41" t="n">
        <v>305000</v>
      </c>
      <c r="E41" t="n">
        <v>6</v>
      </c>
      <c r="F41" t="n">
        <v>1.5105</v>
      </c>
    </row>
    <row r="42">
      <c r="A42" t="inlineStr">
        <is>
          <t>FRA+CZE</t>
        </is>
      </c>
      <c r="B42" t="inlineStr">
        <is>
          <t>high</t>
        </is>
      </c>
      <c r="C42" t="n">
        <v>321230.94</v>
      </c>
      <c r="D42" t="n">
        <v>305000</v>
      </c>
      <c r="E42" t="n">
        <v>6</v>
      </c>
      <c r="F42" t="n">
        <v>0.9495</v>
      </c>
    </row>
    <row r="43">
      <c r="A43" t="inlineStr">
        <is>
          <t>FRA+CZE</t>
        </is>
      </c>
      <c r="B43" t="inlineStr">
        <is>
          <t>stress</t>
        </is>
      </c>
      <c r="C43" t="n">
        <v>-34354.91</v>
      </c>
      <c r="D43" t="n">
        <v>305000</v>
      </c>
      <c r="E43" t="n">
        <v>6</v>
      </c>
    </row>
    <row r="44">
      <c r="A44" t="inlineStr">
        <is>
          <t>FRA+ESP</t>
        </is>
      </c>
      <c r="B44" t="inlineStr">
        <is>
          <t>low</t>
        </is>
      </c>
      <c r="C44" t="n">
        <v>96702.5</v>
      </c>
      <c r="D44" t="n">
        <v>340000</v>
      </c>
      <c r="E44" t="n">
        <v>7</v>
      </c>
      <c r="F44" t="n">
        <v>3.5159</v>
      </c>
    </row>
    <row r="45">
      <c r="A45" t="inlineStr">
        <is>
          <t>FRA+ESP</t>
        </is>
      </c>
      <c r="B45" t="inlineStr">
        <is>
          <t>base</t>
        </is>
      </c>
      <c r="C45" t="n">
        <v>223328.89</v>
      </c>
      <c r="D45" t="n">
        <v>340000</v>
      </c>
      <c r="E45" t="n">
        <v>7</v>
      </c>
      <c r="F45" t="n">
        <v>1.5224</v>
      </c>
    </row>
    <row r="46">
      <c r="A46" t="inlineStr">
        <is>
          <t>FRA+ESP</t>
        </is>
      </c>
      <c r="B46" t="inlineStr">
        <is>
          <t>high</t>
        </is>
      </c>
      <c r="C46" t="n">
        <v>349955.29</v>
      </c>
      <c r="D46" t="n">
        <v>340000</v>
      </c>
      <c r="E46" t="n">
        <v>7</v>
      </c>
      <c r="F46" t="n">
        <v>0.9716</v>
      </c>
    </row>
    <row r="47">
      <c r="A47" t="inlineStr">
        <is>
          <t>FRA+ESP</t>
        </is>
      </c>
      <c r="B47" t="inlineStr">
        <is>
          <t>stress</t>
        </is>
      </c>
      <c r="C47" t="n">
        <v>166584.31</v>
      </c>
      <c r="D47" t="n">
        <v>340000</v>
      </c>
      <c r="E47" t="n">
        <v>7</v>
      </c>
      <c r="F47" t="n">
        <v>2.041</v>
      </c>
    </row>
    <row r="48">
      <c r="A48" t="inlineStr">
        <is>
          <t>NLD+POL</t>
        </is>
      </c>
      <c r="B48" t="inlineStr">
        <is>
          <t>low</t>
        </is>
      </c>
      <c r="C48" t="n">
        <v>115135.6</v>
      </c>
      <c r="D48" t="n">
        <v>250000</v>
      </c>
      <c r="E48" t="n">
        <v>6</v>
      </c>
      <c r="F48" t="n">
        <v>2.1714</v>
      </c>
    </row>
    <row r="49">
      <c r="A49" t="inlineStr">
        <is>
          <t>NLD+POL</t>
        </is>
      </c>
      <c r="B49" t="inlineStr">
        <is>
          <t>base</t>
        </is>
      </c>
      <c r="C49" t="n">
        <v>236631.4</v>
      </c>
      <c r="D49" t="n">
        <v>250000</v>
      </c>
      <c r="E49" t="n">
        <v>6</v>
      </c>
      <c r="F49" t="n">
        <v>1.0565</v>
      </c>
    </row>
    <row r="50">
      <c r="A50" t="inlineStr">
        <is>
          <t>NLD+POL</t>
        </is>
      </c>
      <c r="B50" t="inlineStr">
        <is>
          <t>high</t>
        </is>
      </c>
      <c r="C50" t="n">
        <v>358127.2</v>
      </c>
      <c r="D50" t="n">
        <v>250000</v>
      </c>
      <c r="E50" t="n">
        <v>6</v>
      </c>
      <c r="F50" t="n">
        <v>0.6981000000000001</v>
      </c>
    </row>
    <row r="51">
      <c r="A51" t="inlineStr">
        <is>
          <t>NLD+POL</t>
        </is>
      </c>
      <c r="B51" t="inlineStr">
        <is>
          <t>stress</t>
        </is>
      </c>
      <c r="C51" t="n">
        <v>-1532.06</v>
      </c>
      <c r="D51" t="n">
        <v>250000</v>
      </c>
      <c r="E51" t="n">
        <v>6</v>
      </c>
    </row>
    <row r="52">
      <c r="A52" t="inlineStr">
        <is>
          <t>NLD+CZE</t>
        </is>
      </c>
      <c r="B52" t="inlineStr">
        <is>
          <t>low</t>
        </is>
      </c>
      <c r="C52" t="n">
        <v>119019.57</v>
      </c>
      <c r="D52" t="n">
        <v>235000</v>
      </c>
      <c r="E52" t="n">
        <v>5</v>
      </c>
      <c r="F52" t="n">
        <v>1.9745</v>
      </c>
    </row>
    <row r="53">
      <c r="A53" t="inlineStr">
        <is>
          <t>NLD+CZE</t>
        </is>
      </c>
      <c r="B53" t="inlineStr">
        <is>
          <t>base</t>
        </is>
      </c>
      <c r="C53" t="n">
        <v>245892.37</v>
      </c>
      <c r="D53" t="n">
        <v>235000</v>
      </c>
      <c r="E53" t="n">
        <v>5</v>
      </c>
      <c r="F53" t="n">
        <v>0.9557</v>
      </c>
    </row>
    <row r="54">
      <c r="A54" t="inlineStr">
        <is>
          <t>NLD+CZE</t>
        </is>
      </c>
      <c r="B54" t="inlineStr">
        <is>
          <t>high</t>
        </is>
      </c>
      <c r="C54" t="n">
        <v>372765.17</v>
      </c>
      <c r="D54" t="n">
        <v>235000</v>
      </c>
      <c r="E54" t="n">
        <v>5</v>
      </c>
      <c r="F54" t="n">
        <v>0.6304</v>
      </c>
    </row>
    <row r="55">
      <c r="A55" t="inlineStr">
        <is>
          <t>NLD+CZE</t>
        </is>
      </c>
      <c r="B55" t="inlineStr">
        <is>
          <t>stress</t>
        </is>
      </c>
      <c r="C55" t="n">
        <v>-1125.71</v>
      </c>
      <c r="D55" t="n">
        <v>235000</v>
      </c>
      <c r="E55" t="n">
        <v>5</v>
      </c>
    </row>
    <row r="56">
      <c r="A56" t="inlineStr">
        <is>
          <t>NLD+ESP</t>
        </is>
      </c>
      <c r="B56" t="inlineStr">
        <is>
          <t>low</t>
        </is>
      </c>
      <c r="C56" t="n">
        <v>133869.96</v>
      </c>
      <c r="D56" t="n">
        <v>270000</v>
      </c>
      <c r="E56" t="n">
        <v>6</v>
      </c>
      <c r="F56" t="n">
        <v>2.0169</v>
      </c>
    </row>
    <row r="57">
      <c r="A57" t="inlineStr">
        <is>
          <t>NLD+ESP</t>
        </is>
      </c>
      <c r="B57" t="inlineStr">
        <is>
          <t>base</t>
        </is>
      </c>
      <c r="C57" t="n">
        <v>268159.8</v>
      </c>
      <c r="D57" t="n">
        <v>270000</v>
      </c>
      <c r="E57" t="n">
        <v>6</v>
      </c>
      <c r="F57" t="n">
        <v>1.0069</v>
      </c>
    </row>
    <row r="58">
      <c r="A58" t="inlineStr">
        <is>
          <t>NLD+ESP</t>
        </is>
      </c>
      <c r="B58" t="inlineStr">
        <is>
          <t>high</t>
        </is>
      </c>
      <c r="C58" t="n">
        <v>402449.64</v>
      </c>
      <c r="D58" t="n">
        <v>270000</v>
      </c>
      <c r="E58" t="n">
        <v>6</v>
      </c>
      <c r="F58" t="n">
        <v>0.6709000000000001</v>
      </c>
    </row>
    <row r="59">
      <c r="A59" t="inlineStr">
        <is>
          <t>NLD+ESP</t>
        </is>
      </c>
      <c r="B59" t="inlineStr">
        <is>
          <t>stress</t>
        </is>
      </c>
      <c r="C59" t="n">
        <v>208858.51</v>
      </c>
      <c r="D59" t="n">
        <v>270000</v>
      </c>
      <c r="E59" t="n">
        <v>6</v>
      </c>
      <c r="F59" t="n">
        <v>1.2927</v>
      </c>
    </row>
    <row r="60">
      <c r="A60" t="inlineStr">
        <is>
          <t>POL+CZE</t>
        </is>
      </c>
      <c r="B60" t="inlineStr">
        <is>
          <t>low</t>
        </is>
      </c>
      <c r="C60" t="n">
        <v>122838.91</v>
      </c>
      <c r="D60" t="n">
        <v>205000</v>
      </c>
      <c r="E60" t="n">
        <v>5</v>
      </c>
      <c r="F60" t="n">
        <v>1.6689</v>
      </c>
    </row>
    <row r="61">
      <c r="A61" t="inlineStr">
        <is>
          <t>POL+CZE</t>
        </is>
      </c>
      <c r="B61" t="inlineStr">
        <is>
          <t>base</t>
        </is>
      </c>
      <c r="C61" t="n">
        <v>253049.28</v>
      </c>
      <c r="D61" t="n">
        <v>205000</v>
      </c>
      <c r="E61" t="n">
        <v>5</v>
      </c>
      <c r="F61" t="n">
        <v>0.8101</v>
      </c>
    </row>
    <row r="62">
      <c r="A62" t="inlineStr">
        <is>
          <t>POL+CZE</t>
        </is>
      </c>
      <c r="B62" t="inlineStr">
        <is>
          <t>high</t>
        </is>
      </c>
      <c r="C62" t="n">
        <v>383259.65</v>
      </c>
      <c r="D62" t="n">
        <v>205000</v>
      </c>
      <c r="E62" t="n">
        <v>5</v>
      </c>
      <c r="F62" t="n">
        <v>0.5349</v>
      </c>
    </row>
    <row r="63">
      <c r="A63" t="inlineStr">
        <is>
          <t>POL+CZE</t>
        </is>
      </c>
      <c r="B63" t="inlineStr">
        <is>
          <t>stress</t>
        </is>
      </c>
      <c r="C63" t="n">
        <v>-4515.88</v>
      </c>
      <c r="D63" t="n">
        <v>205000</v>
      </c>
      <c r="E63" t="n">
        <v>5</v>
      </c>
    </row>
    <row r="64">
      <c r="A64" t="inlineStr">
        <is>
          <t>POL+ESP</t>
        </is>
      </c>
      <c r="B64" t="inlineStr">
        <is>
          <t>low</t>
        </is>
      </c>
      <c r="C64" t="n">
        <v>138096.2</v>
      </c>
      <c r="D64" t="n">
        <v>240000</v>
      </c>
      <c r="E64" t="n">
        <v>6</v>
      </c>
      <c r="F64" t="n">
        <v>1.7379</v>
      </c>
    </row>
    <row r="65">
      <c r="A65" t="inlineStr">
        <is>
          <t>POL+ESP</t>
        </is>
      </c>
      <c r="B65" t="inlineStr">
        <is>
          <t>base</t>
        </is>
      </c>
      <c r="C65" t="n">
        <v>275779.09</v>
      </c>
      <c r="D65" t="n">
        <v>240000</v>
      </c>
      <c r="E65" t="n">
        <v>6</v>
      </c>
      <c r="F65" t="n">
        <v>0.8703</v>
      </c>
    </row>
    <row r="66">
      <c r="A66" t="inlineStr">
        <is>
          <t>POL+ESP</t>
        </is>
      </c>
      <c r="B66" t="inlineStr">
        <is>
          <t>high</t>
        </is>
      </c>
      <c r="C66" t="n">
        <v>413461.98</v>
      </c>
      <c r="D66" t="n">
        <v>240000</v>
      </c>
      <c r="E66" t="n">
        <v>6</v>
      </c>
      <c r="F66" t="n">
        <v>0.5805</v>
      </c>
    </row>
    <row r="67">
      <c r="A67" t="inlineStr">
        <is>
          <t>POL+ESP</t>
        </is>
      </c>
      <c r="B67" t="inlineStr">
        <is>
          <t>stress</t>
        </is>
      </c>
      <c r="C67" t="n">
        <v>12359.24</v>
      </c>
      <c r="D67" t="n">
        <v>240000</v>
      </c>
      <c r="E67" t="n">
        <v>6</v>
      </c>
      <c r="F67" t="n">
        <v>19.4187</v>
      </c>
    </row>
    <row r="68">
      <c r="A68" t="inlineStr">
        <is>
          <t>CZE+ESP</t>
        </is>
      </c>
      <c r="B68" t="inlineStr">
        <is>
          <t>low</t>
        </is>
      </c>
      <c r="C68" t="n">
        <v>141407.61</v>
      </c>
      <c r="D68" t="n">
        <v>225000</v>
      </c>
      <c r="E68" t="n">
        <v>5</v>
      </c>
      <c r="F68" t="n">
        <v>1.5911</v>
      </c>
    </row>
    <row r="69">
      <c r="A69" t="inlineStr">
        <is>
          <t>CZE+ESP</t>
        </is>
      </c>
      <c r="B69" t="inlineStr">
        <is>
          <t>base</t>
        </is>
      </c>
      <c r="C69" t="n">
        <v>284389.43</v>
      </c>
      <c r="D69" t="n">
        <v>225000</v>
      </c>
      <c r="E69" t="n">
        <v>5</v>
      </c>
      <c r="F69" t="n">
        <v>0.7912</v>
      </c>
    </row>
    <row r="70">
      <c r="A70" t="inlineStr">
        <is>
          <t>CZE+ESP</t>
        </is>
      </c>
      <c r="B70" t="inlineStr">
        <is>
          <t>high</t>
        </is>
      </c>
      <c r="C70" t="n">
        <v>427371.25</v>
      </c>
      <c r="D70" t="n">
        <v>225000</v>
      </c>
      <c r="E70" t="n">
        <v>5</v>
      </c>
      <c r="F70" t="n">
        <v>0.5265</v>
      </c>
    </row>
    <row r="71">
      <c r="A71" t="inlineStr">
        <is>
          <t>CZE+ESP</t>
        </is>
      </c>
      <c r="B71" t="inlineStr">
        <is>
          <t>stress</t>
        </is>
      </c>
      <c r="C71" t="n">
        <v>12114.97</v>
      </c>
      <c r="D71" t="n">
        <v>225000</v>
      </c>
      <c r="E71" t="n">
        <v>5</v>
      </c>
      <c r="F71" t="n">
        <v>18.5721</v>
      </c>
    </row>
  </sheetData>
  <autoFilter ref="A3:F71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2" t="inlineStr">
        <is>
          <t>Quality</t>
        </is>
      </c>
    </row>
    <row r="2">
      <c r="A2" t="inlineStr">
        <is>
          <t>Detected anomalies and handling; see evidence/source-register.json.</t>
        </is>
      </c>
    </row>
    <row r="3">
      <c r="A3" s="3" t="inlineStr">
        <is>
          <t>item</t>
        </is>
      </c>
      <c r="B3" s="3" t="inlineStr">
        <is>
          <t>value</t>
        </is>
      </c>
    </row>
    <row r="4">
      <c r="A4" t="inlineStr">
        <is>
          <t>raw_order_rows</t>
        </is>
      </c>
      <c r="B4" t="n">
        <v>1328</v>
      </c>
    </row>
    <row r="5">
      <c r="A5" t="inlineStr">
        <is>
          <t>distinct_order_ids</t>
        </is>
      </c>
      <c r="B5" t="n">
        <v>1297</v>
      </c>
    </row>
    <row r="6">
      <c r="A6" t="inlineStr">
        <is>
          <t>identical_duplicate_rows</t>
        </is>
      </c>
      <c r="B6" t="n">
        <v>13</v>
      </c>
    </row>
    <row r="7">
      <c r="A7" t="inlineStr">
        <is>
          <t>same_revision_conflicts</t>
        </is>
      </c>
      <c r="B7" t="inlineStr">
        <is>
          <t>[]</t>
        </is>
      </c>
    </row>
    <row r="8">
      <c r="A8" t="inlineStr">
        <is>
          <t>superseded_order_revisions</t>
        </is>
      </c>
      <c r="B8" t="n">
        <v>18</v>
      </c>
    </row>
    <row r="9">
      <c r="A9" t="inlineStr">
        <is>
          <t>order_exclusions</t>
        </is>
      </c>
      <c r="B9" t="inlineStr">
        <is>
          <t>{"non_shipped_status": 24, "test_transaction": 18, "shipment_outside_2025": 1}</t>
        </is>
      </c>
    </row>
    <row r="10">
      <c r="A10" t="inlineStr">
        <is>
          <t>raw_return_rows</t>
        </is>
      </c>
      <c r="B10" t="n">
        <v>264</v>
      </c>
    </row>
    <row r="11">
      <c r="A11" t="inlineStr">
        <is>
          <t>distinct_return_ids</t>
        </is>
      </c>
      <c r="B11" t="n">
        <v>243</v>
      </c>
    </row>
    <row r="12">
      <c r="A12" t="inlineStr">
        <is>
          <t>identical_return_duplicate_rows</t>
        </is>
      </c>
      <c r="B12" t="n">
        <v>20</v>
      </c>
    </row>
    <row r="13">
      <c r="A13" t="inlineStr">
        <is>
          <t>same_return_revision_conflicts</t>
        </is>
      </c>
      <c r="B13" t="inlineStr">
        <is>
          <t>[]</t>
        </is>
      </c>
    </row>
    <row r="14">
      <c r="A14" t="inlineStr">
        <is>
          <t>superseded_return_revisions</t>
        </is>
      </c>
      <c r="B14" t="n">
        <v>1</v>
      </c>
    </row>
    <row r="15">
      <c r="A15" t="inlineStr">
        <is>
          <t>return_exclusions</t>
        </is>
      </c>
      <c r="B15" t="inlineStr">
        <is>
          <t>{"after_cutoff": 1}</t>
        </is>
      </c>
    </row>
    <row r="16">
      <c r="A16" t="inlineStr">
        <is>
          <t>orphan_returns</t>
        </is>
      </c>
      <c r="B16" t="inlineStr">
        <is>
          <t>[{"return_id": "R-ORPHAN", "order_id": "ABSENT"}]</t>
        </is>
      </c>
    </row>
    <row r="17">
      <c r="A17" t="inlineStr">
        <is>
          <t>missing_data</t>
        </is>
      </c>
      <c r="B17" t="inlineStr">
        <is>
          <t>[]</t>
        </is>
      </c>
    </row>
    <row r="18">
      <c r="A18" t="inlineStr">
        <is>
          <t>zero_price_shipments_included</t>
        </is>
      </c>
      <c r="B18" t="n">
        <v>12</v>
      </c>
    </row>
    <row r="19">
      <c r="A19" t="inlineStr">
        <is>
          <t>rounding</t>
        </is>
      </c>
      <c r="B19" t="inlineStr">
        <is>
          <t>Per order monetary component rounded to cents using Decimal ROUND_HALF_UP.</t>
        </is>
      </c>
    </row>
    <row r="20">
      <c r="A20" t="inlineStr">
        <is>
          <t>orphan_returns_count</t>
        </is>
      </c>
      <c r="B20" t="n">
        <v>1</v>
      </c>
    </row>
    <row r="21">
      <c r="A21" t="inlineStr">
        <is>
          <t>eligible_orders</t>
        </is>
      </c>
      <c r="B21" t="n">
        <v>1254</v>
      </c>
    </row>
    <row r="22">
      <c r="A22" t="inlineStr">
        <is>
          <t>included_returns</t>
        </is>
      </c>
      <c r="B22" t="n">
        <v>241</v>
      </c>
    </row>
    <row r="23">
      <c r="A23" t="inlineStr">
        <is>
          <t>eligible_return_ids</t>
        </is>
      </c>
      <c r="B23" t="n">
        <v>241</v>
      </c>
    </row>
    <row r="24">
      <c r="A24" t="inlineStr">
        <is>
          <t>excluded_return_ids</t>
        </is>
      </c>
      <c r="B24" t="n">
        <v>2</v>
      </c>
    </row>
    <row r="25">
      <c r="A25" t="inlineStr">
        <is>
          <t>return_revisions_excluded</t>
        </is>
      </c>
      <c r="B25" t="n">
        <v>1</v>
      </c>
    </row>
    <row r="26">
      <c r="A26" t="inlineStr">
        <is>
          <t>same_revision_conflicts_require_resolution</t>
        </is>
      </c>
      <c r="B26" t="b">
        <v>0</v>
      </c>
    </row>
    <row r="27">
      <c r="A27" t="inlineStr">
        <is>
          <t>source_cutoff</t>
        </is>
      </c>
      <c r="B27" t="inlineStr">
        <is>
          <t>2026-01-31 inclusive</t>
        </is>
      </c>
    </row>
    <row r="28">
      <c r="A28" t="inlineStr">
        <is>
          <t>source_room_synthetic_client_data</t>
        </is>
      </c>
      <c r="B28" t="b">
        <v>1</v>
      </c>
    </row>
    <row r="29">
      <c r="A29" t="inlineStr">
        <is>
          <t>ecb_rates_are_reference_translation_not_transaction_rates</t>
        </is>
      </c>
      <c r="B29" t="b">
        <v>1</v>
      </c>
    </row>
    <row r="30">
      <c r="A30" t="inlineStr">
        <is>
          <t>rounding_note</t>
        </is>
      </c>
      <c r="B30" t="inlineStr">
        <is>
          <t>Gross sales and summed refunds convert per original order at the original shipment month rate; order-level monetary components are half-up rounded to EUR cents before aggregation.</t>
        </is>
      </c>
    </row>
    <row r="31">
      <c r="A31" t="inlineStr">
        <is>
          <t>monthly_country_reconciliation</t>
        </is>
      </c>
      <c r="B31" t="inlineStr">
        <is>
          <t>Verified country totals exactly equal sums across 12 country-month rows for every additive metric.</t>
        </is>
      </c>
    </row>
  </sheetData>
  <autoFilter ref="A3:B31"/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Base annual increment</t>
        </is>
      </c>
      <c r="C1" t="inlineStr">
        <is>
          <t>Stress annual increment</t>
        </is>
      </c>
    </row>
    <row r="2">
      <c r="A2" t="inlineStr">
        <is>
          <t>NLD+ESP</t>
        </is>
      </c>
      <c r="B2" t="n">
        <v>268159.8</v>
      </c>
      <c r="C2" t="n">
        <v>208858.51</v>
      </c>
    </row>
    <row r="3">
      <c r="A3" t="inlineStr">
        <is>
          <t>CZE+ESP</t>
        </is>
      </c>
      <c r="B3" t="n">
        <v>284389.43</v>
      </c>
      <c r="C3" t="n">
        <v>12114.97</v>
      </c>
    </row>
    <row r="4">
      <c r="A4" t="inlineStr">
        <is>
          <t>POL+ESP</t>
        </is>
      </c>
      <c r="B4" t="n">
        <v>275779.09</v>
      </c>
      <c r="C4" t="n">
        <v>12359.24</v>
      </c>
    </row>
    <row r="5">
      <c r="A5" t="inlineStr">
        <is>
          <t>NLD+CZE</t>
        </is>
      </c>
      <c r="B5" t="n">
        <v>245892.37</v>
      </c>
      <c r="C5" t="n">
        <v>-1125.71</v>
      </c>
    </row>
    <row r="6">
      <c r="A6" t="inlineStr">
        <is>
          <t>POL+CZE</t>
        </is>
      </c>
      <c r="B6" t="n">
        <v>253049.28</v>
      </c>
      <c r="C6" t="n">
        <v>-4515.88</v>
      </c>
    </row>
    <row r="7">
      <c r="A7" t="inlineStr">
        <is>
          <t>ESP</t>
        </is>
      </c>
      <c r="B7" t="n">
        <v>101824.62</v>
      </c>
      <c r="C7" t="n">
        <v>69114.91</v>
      </c>
    </row>
    <row r="8">
      <c r="A8" t="inlineStr">
        <is>
          <t>Defer</t>
        </is>
      </c>
      <c r="B8" t="n">
        <v>0</v>
      </c>
      <c r="C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2026-09-27T11:02:05Z</dcterms:created>
  <dcterms:modified xmlns:dcterms="http://purl.org/dc/terms/" xmlns:xsi="http://www.w3.org/2001/XMLSchema-instance" xsi:type="dcterms:W3CDTF">2026-09-27T11:02:05Z</dcterms:modified>
</cp:coreProperties>
</file>